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sz val="9"/>
            <rFont val="宋体"/>
            <charset val="134"/>
          </rPr>
          <t xml:space="preserve">红色字体表示特勤处制造所需原材料
</t>
        </r>
      </text>
    </comment>
    <comment ref="M1" authorId="0">
      <text>
        <r>
          <rPr>
            <sz val="9"/>
            <rFont val="宋体"/>
            <charset val="134"/>
          </rPr>
          <t xml:space="preserve">Randbetween函数随机
</t>
        </r>
      </text>
    </comment>
  </commentList>
</comments>
</file>

<file path=xl/sharedStrings.xml><?xml version="1.0" encoding="utf-8"?>
<sst xmlns="http://schemas.openxmlformats.org/spreadsheetml/2006/main" count="3689" uniqueCount="1393">
  <si>
    <t>序号</t>
  </si>
  <si>
    <t>物品名称</t>
  </si>
  <si>
    <t>物品分类</t>
  </si>
  <si>
    <t>品质</t>
  </si>
  <si>
    <t>组内序号</t>
  </si>
  <si>
    <t>长</t>
  </si>
  <si>
    <t>宽</t>
  </si>
  <si>
    <t>面积价值衰减</t>
  </si>
  <si>
    <t>初始定价</t>
  </si>
  <si>
    <t>单格价值</t>
  </si>
  <si>
    <t>衰减后单格价值</t>
  </si>
  <si>
    <t>系统回收价(不变)</t>
  </si>
  <si>
    <t>价值浮动系数</t>
  </si>
  <si>
    <t>售价下限</t>
  </si>
  <si>
    <t>售价上限</t>
  </si>
  <si>
    <t>最低保证金</t>
  </si>
  <si>
    <t>价格区间长度</t>
  </si>
  <si>
    <t>道具描述</t>
  </si>
  <si>
    <t>物品id</t>
  </si>
  <si>
    <t>面积</t>
  </si>
  <si>
    <t>衰减系数</t>
  </si>
  <si>
    <t>name</t>
  </si>
  <si>
    <t>id</t>
  </si>
  <si>
    <t>±1.00%</t>
  </si>
  <si>
    <t>远古龙心</t>
  </si>
  <si>
    <t>生物材料</t>
  </si>
  <si>
    <t>红</t>
  </si>
  <si>
    <t>仍在微弱跳动的龙之心脏，蕴含庞大生命力，蕴含极致的生命与力量本源。</t>
  </si>
  <si>
    <t>生命之树精华</t>
  </si>
  <si>
    <t>从世界树树芯中提取的翠绿色液体，拥有极强的生机修复之力。</t>
  </si>
  <si>
    <t>龙骨标本</t>
  </si>
  <si>
    <t>保存完好的巨龙骨骼碎片，具备极强的结构稳定性与魔力传导性。</t>
  </si>
  <si>
    <t>不朽之骨</t>
  </si>
  <si>
    <t>来自不死生物的骨骼，带有抗腐与不灭特性。</t>
  </si>
  <si>
    <t>神圣羽毛</t>
  </si>
  <si>
    <t>高阶圣兽羽翼脱落之羽，蕴含净化与治愈力量。</t>
  </si>
  <si>
    <t>name:string</t>
  </si>
  <si>
    <t>id:number</t>
  </si>
  <si>
    <t>星界灵翼晶核</t>
  </si>
  <si>
    <t>星界灵翼巨兽的核心结晶，封存着纯粹的星界能量，兼具净化与魔力增幅的本源之力。</t>
  </si>
  <si>
    <t>金鳞龙血</t>
  </si>
  <si>
    <t>金</t>
  </si>
  <si>
    <t>从成年巨龙体内提取的血液，富含高浓度火属性能量。</t>
  </si>
  <si>
    <t>钻石</t>
  </si>
  <si>
    <t>月光花蜜</t>
  </si>
  <si>
    <t>仅在满月夜采集的花蜜，具有稳定魔力与安神效果。</t>
  </si>
  <si>
    <t>经验</t>
  </si>
  <si>
    <t>黑檀木</t>
  </si>
  <si>
    <t>质地坚硬如铁的珍稀木料，纹理深邃，是打造高阶器物的良材。</t>
  </si>
  <si>
    <t>VIP经验</t>
  </si>
  <si>
    <t>巨蛛毒腺</t>
  </si>
  <si>
    <t>大型毒蛛体内的毒素腺体，可用于剧毒或腐蚀配方。</t>
  </si>
  <si>
    <t>钻石(弃用)</t>
  </si>
  <si>
    <t>森林古鹿之角</t>
  </si>
  <si>
    <t>古老灵鹿的分叉鹿角，具有自然恢复与祝福效果。</t>
  </si>
  <si>
    <t>金币</t>
  </si>
  <si>
    <t>渊甲龙鳞</t>
  </si>
  <si>
    <t>深渊古龙的鳞甲碎片，质地坚不可摧，自带稳固的守护气息。</t>
  </si>
  <si>
    <t>改名卡</t>
  </si>
  <si>
    <t>炎羽龙皮</t>
  </si>
  <si>
    <t>炎翼巨龙的翎羽下皮层，坚韧耐热，蕴含着微弱的炎属性本源。</t>
  </si>
  <si>
    <t>新手战备令</t>
  </si>
  <si>
    <t>细密蛛丝</t>
  </si>
  <si>
    <t>紫</t>
  </si>
  <si>
    <t>灵蛛吐出的丝线，纤细却强韧，是制作轻韧装备的优质材料。</t>
  </si>
  <si>
    <t>标准战备令</t>
  </si>
  <si>
    <t>幻角兽血</t>
  </si>
  <si>
    <t>幻角异兽体内的精纯血液，生机旺盛，流转着鲜活的生命能量。</t>
  </si>
  <si>
    <t>精英战备令</t>
  </si>
  <si>
    <t>岩犀厚甲片</t>
  </si>
  <si>
    <t>岩犀体表的厚重甲片，质地坚硬，防御性能出众。</t>
  </si>
  <si>
    <t>卫队长</t>
  </si>
  <si>
    <t>紫杉木</t>
  </si>
  <si>
    <t>质地坚韧的珍稀木料，弹性极佳，是打造兵器的上佳材料。</t>
  </si>
  <si>
    <t>暗夜女王</t>
  </si>
  <si>
    <t>韧化藤蔓丝</t>
  </si>
  <si>
    <t>蓝</t>
  </si>
  <si>
    <t>经自然之力淬炼的藤蔓纤维，柔韧度远超普通植物纤维。</t>
  </si>
  <si>
    <t>海潮祭司</t>
  </si>
  <si>
    <t>穿山甲鳞甲</t>
  </si>
  <si>
    <t>穿山甲的坚硬鳞片，轻薄坚韧，适合制作轻型防护装备。</t>
  </si>
  <si>
    <t>蝶女</t>
  </si>
  <si>
    <t>硬质橡木</t>
  </si>
  <si>
    <t>质地密实的普通优质木料，是新手阶段打造装备的常用主材。</t>
  </si>
  <si>
    <t>虫母</t>
  </si>
  <si>
    <t>林地浆果</t>
  </si>
  <si>
    <t>林间常见的野生浆果，可作为基础炼药的初级材料。</t>
  </si>
  <si>
    <t>动物皮革</t>
  </si>
  <si>
    <t>普通野兽的皮毛，经过简单处理，是基础防具的常用材料。</t>
  </si>
  <si>
    <t>雷霆使者</t>
  </si>
  <si>
    <t>灵菇萃取液</t>
  </si>
  <si>
    <t>灵芝提炼的药液，药性温和，具备基础的滋补疗伤效果。</t>
  </si>
  <si>
    <t>野蛮人</t>
  </si>
  <si>
    <t>草本药液</t>
  </si>
  <si>
    <t>绿</t>
  </si>
  <si>
    <t>多种普通草本熬制的汁液，色泽浑浊，药性平淡。</t>
  </si>
  <si>
    <t>缚魂灵师</t>
  </si>
  <si>
    <t>迅影兔腿</t>
  </si>
  <si>
    <t>迅捷灵兔的后腿，蕴含微弱的敏捷气息，可小幅提升速度。</t>
  </si>
  <si>
    <t>猎杀者</t>
  </si>
  <si>
    <t>巨龟甲壳</t>
  </si>
  <si>
    <t>巨型乌龟的背甲，厚重坚固，常用于制作基础防御装备。</t>
  </si>
  <si>
    <t>狼人</t>
  </si>
  <si>
    <t>幽冥狼牙</t>
  </si>
  <si>
    <t>幽冥狼的獠牙，带着阴冷气息，可用于制作带有暗属性的器物。</t>
  </si>
  <si>
    <t>鲨鱼</t>
  </si>
  <si>
    <t>岩犀甲皮屑</t>
  </si>
  <si>
    <t>岩犀甲片脱落的碎屑，品质普通，是入门级的炼造辅料。</t>
  </si>
  <si>
    <t>圣光使者</t>
  </si>
  <si>
    <t>猎鹰眼膜</t>
  </si>
  <si>
    <t>猛禽猎鹰的眼膜，能强化视物能力，是制作精准类装备的材料。</t>
  </si>
  <si>
    <t>1级恢复药水</t>
  </si>
  <si>
    <t>桦树枝干</t>
  </si>
  <si>
    <t>林间常见的桦木枝干，质地普通，是最基础的木料材料。</t>
  </si>
  <si>
    <t>默认容器存放</t>
  </si>
  <si>
    <t>生肉</t>
  </si>
  <si>
    <t>白</t>
  </si>
  <si>
    <t>色泽暗红，肌理粗糙，带着浓重的腥膻气息，肉质紧实。</t>
  </si>
  <si>
    <t>仓库</t>
  </si>
  <si>
    <t>粗制兽皮</t>
  </si>
  <si>
    <t>未经精细处理的劣质兽皮，仅能制作最基础的简陋装备。</t>
  </si>
  <si>
    <t>默认背包</t>
  </si>
  <si>
    <t>巨龟甲片</t>
  </si>
  <si>
    <t>取自深渊巨鳌的甲壳残片，质地厚重坚硬，表面布满嶙峋的暗纹，泛着幽冷的灰黑光泽。</t>
  </si>
  <si>
    <t>1级背包</t>
  </si>
  <si>
    <t>余音酒杯</t>
  </si>
  <si>
    <t>生活物品</t>
  </si>
  <si>
    <t>杯身轻叩有悠长余韵，盛酒时香气不易散。</t>
  </si>
  <si>
    <t>2级背包</t>
  </si>
  <si>
    <t>映心手镜</t>
  </si>
  <si>
    <t>镜面清亮，能清晰映出人像，是日常梳妆用具。</t>
  </si>
  <si>
    <t>3级背包</t>
  </si>
  <si>
    <t>骨瓷梳妆台</t>
  </si>
  <si>
    <t>以骨瓷与玄岩制成的台座，纹路冷冽暗沉，散发着沉郁的死寂感。</t>
  </si>
  <si>
    <t>4级背包</t>
  </si>
  <si>
    <t>安梦棉毯</t>
  </si>
  <si>
    <t>质地柔软厚实，披盖后能让人放松入眠。</t>
  </si>
  <si>
    <t>5级背包</t>
  </si>
  <si>
    <t>流净瓷具</t>
  </si>
  <si>
    <t>表面顺滑，污渍一冲即净，便于日常清洁。</t>
  </si>
  <si>
    <t>6级背包</t>
  </si>
  <si>
    <t>神酿秘酒</t>
  </si>
  <si>
    <t>古法秘酿的珍酒，口感醇厚，香气绵长。</t>
  </si>
  <si>
    <t>默认快捷背包</t>
  </si>
  <si>
    <t>引香研磨器</t>
  </si>
  <si>
    <t>研磨香料时能充分释放香气，料理必备。</t>
  </si>
  <si>
    <t>1级快捷背包</t>
  </si>
  <si>
    <t>月转仙酿</t>
  </si>
  <si>
    <t>以鲜果酿造，酒液清甜，带有淡淡果香。</t>
  </si>
  <si>
    <t>2级快捷背包</t>
  </si>
  <si>
    <t>定温玉壶</t>
  </si>
  <si>
    <t>壶内水温可保持稳定，饮用口感温和。</t>
  </si>
  <si>
    <t>3级快捷背包</t>
  </si>
  <si>
    <t>静息香盘</t>
  </si>
  <si>
    <t>盛放熏香点燃后，气息平和，助于静心休憩。</t>
  </si>
  <si>
    <t>4级快捷背包</t>
  </si>
  <si>
    <t>轻眠云毯</t>
  </si>
  <si>
    <t>轻薄柔软，披盖无压，适合小憩使用。</t>
  </si>
  <si>
    <t>1级钥匙包(通用)</t>
  </si>
  <si>
    <t>流纹晶杯</t>
  </si>
  <si>
    <t>杯身带有自然流纹，盛酒时观感雅致。</t>
  </si>
  <si>
    <t>2级钥匙包(通用)</t>
  </si>
  <si>
    <t>窖藏奶酪</t>
  </si>
  <si>
    <t>风味浓郁的发酵乳酪，口感绵密独特。</t>
  </si>
  <si>
    <t>3级钥匙包(通用)</t>
  </si>
  <si>
    <t>缓温银盘</t>
  </si>
  <si>
    <t>缓慢维持温度，减缓餐食变凉的速度。</t>
  </si>
  <si>
    <t>4级钥匙包(通用)</t>
  </si>
  <si>
    <t>符热烤盘</t>
  </si>
  <si>
    <t>可缓慢散发热量，用于温热食物与简易烤制。</t>
  </si>
  <si>
    <t>1级保险箱</t>
  </si>
  <si>
    <t>保鲜玉壶</t>
  </si>
  <si>
    <t>能延缓水质变质，长时间存放仍清甜。</t>
  </si>
  <si>
    <t>2级保险箱</t>
  </si>
  <si>
    <t>深山蜂酿酒</t>
  </si>
  <si>
    <t>以蜂蜜酿造的酒品，口感甜润，酒香清雅。</t>
  </si>
  <si>
    <t>3级保险箱</t>
  </si>
  <si>
    <t>风干肉片</t>
  </si>
  <si>
    <t>经风干处理的肉干，耐存放，充饥佳品。</t>
  </si>
  <si>
    <t>4级保险箱</t>
  </si>
  <si>
    <t>秘制香草粉</t>
  </si>
  <si>
    <t>多种香草研磨调配，为食物增添风味。</t>
  </si>
  <si>
    <t>角色尸体</t>
  </si>
  <si>
    <t>均热精锅</t>
  </si>
  <si>
    <t>受热均匀，适合煎炒烹炸各类食材。</t>
  </si>
  <si>
    <t>掉落物</t>
  </si>
  <si>
    <t>折叠餐具</t>
  </si>
  <si>
    <t>可折叠收纳，便携实用，适合外出携带。</t>
  </si>
  <si>
    <t>I级攻速魔纹</t>
  </si>
  <si>
    <t>毛绒软垫</t>
  </si>
  <si>
    <t>质地松软，用于坐卧，提升舒适度。</t>
  </si>
  <si>
    <t>II级攻速魔纹</t>
  </si>
  <si>
    <t>谷酿酒</t>
  </si>
  <si>
    <t>以谷物酿造的基础酒品，口感平实。</t>
  </si>
  <si>
    <t>III级攻速魔纹</t>
  </si>
  <si>
    <t>凝露水壶</t>
  </si>
  <si>
    <t>壶身可凝聚水汽，水质清冽甘甜。</t>
  </si>
  <si>
    <t>IV级攻速魔纹</t>
  </si>
  <si>
    <t>粗麻餐巾</t>
  </si>
  <si>
    <t>粗布制成，用于擦拭餐具与手部，耐用实用。</t>
  </si>
  <si>
    <t>V级攻速魔纹</t>
  </si>
  <si>
    <t>菜刀</t>
  </si>
  <si>
    <t>厨房常用刀具，刃口锋利，用于处理食材。</t>
  </si>
  <si>
    <t>VI级攻速魔纹</t>
  </si>
  <si>
    <t>炭火盆</t>
  </si>
  <si>
    <t>盛放炭火，可用于取暖、加热食物。</t>
  </si>
  <si>
    <t>I级生命魔纹</t>
  </si>
  <si>
    <t>风味腌菜</t>
  </si>
  <si>
    <t>蔬菜腌制而成，酸爽开胃，佐餐食用。</t>
  </si>
  <si>
    <t>II级生命魔纹</t>
  </si>
  <si>
    <t>小麦酒</t>
  </si>
  <si>
    <t>麦芽酿造的淡酒，是常见的平民饮品。</t>
  </si>
  <si>
    <t>III级生命魔纹</t>
  </si>
  <si>
    <t>压缩干粮块</t>
  </si>
  <si>
    <t>压缩制成的干粮，便于携带，应急充饥。</t>
  </si>
  <si>
    <t>IV级生命魔纹</t>
  </si>
  <si>
    <t>雕花烛台</t>
  </si>
  <si>
    <t>用于安放蜡烛，提供基础照明。</t>
  </si>
  <si>
    <t>V级生命魔纹</t>
  </si>
  <si>
    <t>黄铜油灯</t>
  </si>
  <si>
    <t>以油料为燃料，照明范围比蜡烛更广。</t>
  </si>
  <si>
    <t>VI级生命魔纹</t>
  </si>
  <si>
    <t>素面陶碗</t>
  </si>
  <si>
    <t>普通陶土烧制，日常盛饭盛汤的基础餐具。</t>
  </si>
  <si>
    <t>小回复药</t>
  </si>
  <si>
    <t>实木汤勺</t>
  </si>
  <si>
    <t>实木打造，质地温润，用于舀取食物。</t>
  </si>
  <si>
    <t>中回复药</t>
  </si>
  <si>
    <t>麻衣围裙</t>
  </si>
  <si>
    <t>烹饪时穿戴，防止衣物沾染油污。</t>
  </si>
  <si>
    <t>大回复药</t>
  </si>
  <si>
    <t>编织草垫</t>
  </si>
  <si>
    <t>干草编织而成，可铺垫坐卧，简易实用。</t>
  </si>
  <si>
    <t>小通用武器维修</t>
  </si>
  <si>
    <t>食盐</t>
  </si>
  <si>
    <t>基础调味品，提味增鲜，烹饪必备。</t>
  </si>
  <si>
    <t>中通用武器维修</t>
  </si>
  <si>
    <t>麦香面包</t>
  </si>
  <si>
    <t>基础主食，松软饱腹，日常食用。</t>
  </si>
  <si>
    <t>大通用武器维修</t>
  </si>
  <si>
    <t>水壶</t>
  </si>
  <si>
    <t>普通盛水器具，用于外出携带饮水。</t>
  </si>
  <si>
    <t>小通用防具维修</t>
  </si>
  <si>
    <t>淡酒</t>
  </si>
  <si>
    <t>度数极低的酒液，口感清淡，不易醉人。</t>
  </si>
  <si>
    <t>中通用防具维修</t>
  </si>
  <si>
    <t>擦布</t>
  </si>
  <si>
    <t>棉质布料，用于擦拭桌面、餐具。</t>
  </si>
  <si>
    <t>大通用防具维修</t>
  </si>
  <si>
    <t>实木餐盘</t>
  </si>
  <si>
    <t>实木制成，用于盛放食物、蔬果。</t>
  </si>
  <si>
    <t>地图1测试钥匙</t>
  </si>
  <si>
    <t>老旧油灯</t>
  </si>
  <si>
    <t>使用已久的旧油灯，照明效果一般，仍可使用。</t>
  </si>
  <si>
    <t>地图2测试钥匙</t>
  </si>
  <si>
    <t>杂粮饼干</t>
  </si>
  <si>
    <t>谷物压制的饼食，耐储存，便携充饥。</t>
  </si>
  <si>
    <t>地图3测试钥匙</t>
  </si>
  <si>
    <t>日晒果干</t>
  </si>
  <si>
    <t>鲜果脱水制成，保留甜味，方便存放食用。</t>
  </si>
  <si>
    <t>青铜矿</t>
  </si>
  <si>
    <t>旧油灯</t>
  </si>
  <si>
    <t>灯身布满烟熏痕迹与斑驳锈迹，灯芯焦枯蜷曲，散发出陈旧而暗沉的油烟气息。</t>
  </si>
  <si>
    <t>铁矿</t>
  </si>
  <si>
    <t>鲜牛乳</t>
  </si>
  <si>
    <t>生鲜牛乳，营养温润，可直接饮用。</t>
  </si>
  <si>
    <t>高原锰石</t>
  </si>
  <si>
    <t>破旧衣物</t>
  </si>
  <si>
    <t>布料多处磨损撕裂，沾染尘污与霉斑，纤维松散破旧，带着尘封已久的暗沉气息。</t>
  </si>
  <si>
    <t>赤纹铜矿</t>
  </si>
  <si>
    <t>山泉水</t>
  </si>
  <si>
    <t>取自山泉的清水，水质纯净，清甜解渴。</t>
  </si>
  <si>
    <t>杂纹彩晶</t>
  </si>
  <si>
    <t>针线盒</t>
  </si>
  <si>
    <t>盒身边角磨损开裂，内置针线杂乱缠绕，金属针具泛着暗沉锈迹，充满陈旧使用痕迹。</t>
  </si>
  <si>
    <t>岩纹原岩料</t>
  </si>
  <si>
    <t>日记</t>
  </si>
  <si>
    <t>纸页泛黄发脆，字迹模糊斑驳，封面磨损起皱，裹挟着尘封已久的沉寂气息。</t>
  </si>
  <si>
    <t>素纹晶坯</t>
  </si>
  <si>
    <t>破旧的斧子</t>
  </si>
  <si>
    <t>斧刃崩口卷刃布满锈迹，斧柄干裂松动，整体磨损严重，散发着粗粝而陈旧的质感。</t>
  </si>
  <si>
    <t>残痕矿坯</t>
  </si>
  <si>
    <t>龙心熔铸炉</t>
  </si>
  <si>
    <t>炼造工具</t>
  </si>
  <si>
    <t>以远古巨龙心脏为核心的锻造圣炉，外壳由黑曜石与秘银包覆，炉火永不熄灭，可熔炼神铸级材料并锻造具备灵性的武器。</t>
  </si>
  <si>
    <t>淬火熟铁矿</t>
  </si>
  <si>
    <t>时序观星仪</t>
  </si>
  <si>
    <t>由多层星环与水晶透镜构成的观测装置，可推演未来可能路径，但每次使用都会消耗操作者的精神与寿命。</t>
  </si>
  <si>
    <t>玄铁岩矿料</t>
  </si>
  <si>
    <t>原初魔导枢纽</t>
  </si>
  <si>
    <t>连接地下魔力脉络的核心装置，可为大范围区域提供持续稳定的魔力供给，是城市级魔导系统的中枢。</t>
  </si>
  <si>
    <t>月辉银晶</t>
  </si>
  <si>
    <t>万象炼成器</t>
  </si>
  <si>
    <t>传说级炼金装置，可将任意材料重组升华，甚至突破物质界限，被称为“造物之器”。</t>
  </si>
  <si>
    <t>赤焰熟铜矿</t>
  </si>
  <si>
    <t>符文锻造台</t>
  </si>
  <si>
    <t>由坚固石台与符文阵组成，可在锻造过程中稳定刻印魔法纹路，使装备具备额外属性。</t>
  </si>
  <si>
    <t>混彩晶原石</t>
  </si>
  <si>
    <t>秘银缝纫机</t>
  </si>
  <si>
    <t>以秘银结构打造的精密装置，能够缝制带有魔力回路的布料与轻甲。</t>
  </si>
  <si>
    <t>残虹晶屑</t>
  </si>
  <si>
    <t>元素探测罗盘</t>
  </si>
  <si>
    <t>表盘刻有多重元素符号，可指引附近元素浓度与方向变化。</t>
  </si>
  <si>
    <t>铭纹精铁</t>
  </si>
  <si>
    <t>魔导能量调节器</t>
  </si>
  <si>
    <t>用于平衡魔导设备输出功率的核心装置，防止能量暴走或失控。</t>
  </si>
  <si>
    <t>寒蓝晶矿</t>
  </si>
  <si>
    <t>炼金蒸馏组</t>
  </si>
  <si>
    <t>多层玻璃与金属结构组成，可高效提纯复杂药剂与炼金液体。</t>
  </si>
  <si>
    <t>深海原晶</t>
  </si>
  <si>
    <t>精密天平仪</t>
  </si>
  <si>
    <t>带有魔力校准刻度的测量工具，可精准比较材料差异。</t>
  </si>
  <si>
    <t>黑曜晶岩</t>
  </si>
  <si>
    <t>符文刻印器</t>
  </si>
  <si>
    <t>带有刻针与符文导轨的工具，用于在装备上刻录稳定法阵。</t>
  </si>
  <si>
    <t>赤焰陨铁</t>
  </si>
  <si>
    <t>魔力导线组</t>
  </si>
  <si>
    <t>由高导魔材料制成，可稳定传输能量至各类魔导装置。</t>
  </si>
  <si>
    <t>极寒冰晶</t>
  </si>
  <si>
    <t>高阶能量结晶</t>
  </si>
  <si>
    <t>高度压缩的魔力晶体，内部光芒流动，可作为高阶装置的核心供能材料。</t>
  </si>
  <si>
    <t>星脉晶石英</t>
  </si>
  <si>
    <t>重型锻造锤</t>
  </si>
  <si>
    <t>力道沉实，适合打造重型铠甲与大型部件。</t>
  </si>
  <si>
    <t>赤霄火铜</t>
  </si>
  <si>
    <t>细工刻刀</t>
  </si>
  <si>
    <t>刃口锋利，用于精细雕琢与细节加工。</t>
  </si>
  <si>
    <t>灵纤石膏</t>
  </si>
  <si>
    <t>附魔缝纫针</t>
  </si>
  <si>
    <t>可穿引魔线，为布甲皮甲附加基础魔法效果。</t>
  </si>
  <si>
    <t>幽渊晶簇</t>
  </si>
  <si>
    <t>稳定晶片</t>
  </si>
  <si>
    <t>稳定魔力波动，提升打造过程的容错率。</t>
  </si>
  <si>
    <t>虹彩欧泊</t>
  </si>
  <si>
    <t>秘银盔壳</t>
  </si>
  <si>
    <t>秘银胚料，质地轻盈且防御力出众。</t>
  </si>
  <si>
    <t>赤阳金矿</t>
  </si>
  <si>
    <t>秘银镶框</t>
  </si>
  <si>
    <t>秘银制框架，用于装备加固与外观修饰。</t>
  </si>
  <si>
    <t>深脉钴矿</t>
  </si>
  <si>
    <t>秘银甲板</t>
  </si>
  <si>
    <t>高强度秘银板材，打造顶级护甲的核心材料。</t>
  </si>
  <si>
    <t>地脉原石</t>
  </si>
  <si>
    <t>法阵绘制仪</t>
  </si>
  <si>
    <t>规范绘制魔法阵，提升法阵激活成功率。</t>
  </si>
  <si>
    <t>星陨铁片</t>
  </si>
  <si>
    <t>炼金反应瓶</t>
  </si>
  <si>
    <t>耐受高温魔药反应，适合中高阶炼金实验。</t>
  </si>
  <si>
    <t>暗影晶矿</t>
  </si>
  <si>
    <t>元素分离器</t>
  </si>
  <si>
    <t>分离混合元素，提炼纯净元素材料。</t>
  </si>
  <si>
    <t>大地结核</t>
  </si>
  <si>
    <t>魔力刻度尺</t>
  </si>
  <si>
    <t>精准测量魔力强度，辅助控制附魔剂量。</t>
  </si>
  <si>
    <t>精金原胚</t>
  </si>
  <si>
    <t>结构测绘仪</t>
  </si>
  <si>
    <t>测绘装备结构，优化部件拼接与受力设计。</t>
  </si>
  <si>
    <t>赤铜合金</t>
  </si>
  <si>
    <t>魔导齿轮组</t>
  </si>
  <si>
    <t>精密魔导齿轮，用于制作复杂机械装置。</t>
  </si>
  <si>
    <t>金丝石英</t>
  </si>
  <si>
    <t>符文核心片</t>
  </si>
  <si>
    <t>承载基础符文，是魔导装备的核心组件。</t>
  </si>
  <si>
    <t>赤焰心晶</t>
  </si>
  <si>
    <t>偏振幽晶</t>
  </si>
  <si>
    <t>裁剪魔法布料与灵皮，切口平整不损魔力。</t>
  </si>
  <si>
    <t>炼狱玛瑙</t>
  </si>
  <si>
    <t>中型能量瓶</t>
  </si>
  <si>
    <t>储存中等量魔力，满足日常打造需求。</t>
  </si>
  <si>
    <t>青金石锡</t>
  </si>
  <si>
    <t>炼金催化剂</t>
  </si>
  <si>
    <t>加速药剂反应，提升材料利用率与成品品质。</t>
  </si>
  <si>
    <t>星白银芯</t>
  </si>
  <si>
    <t>铁匠锤</t>
  </si>
  <si>
    <t>标准锻打工具，适合日常基础锻造作业。</t>
  </si>
  <si>
    <t>湛蓝虚空晶</t>
  </si>
  <si>
    <t>小型熔炉</t>
  </si>
  <si>
    <t>便携熔炉，可熔化普通金属与基础材料。</t>
  </si>
  <si>
    <t>陨落星铁</t>
  </si>
  <si>
    <t>符文绘刻笔</t>
  </si>
  <si>
    <t>笔锋凝实，可稳定引导魔力，在器物表面勾勒清晰符文纹路。</t>
  </si>
  <si>
    <t>龙骸矿层</t>
  </si>
  <si>
    <t>精钢盔壳</t>
  </si>
  <si>
    <t>精钢胚料，坚固耐用，是优质护甲基础材。</t>
  </si>
  <si>
    <t>原生金脉</t>
  </si>
  <si>
    <t>精钢镶框</t>
  </si>
  <si>
    <t>精钢制配件，用于加固普通装备结构。</t>
  </si>
  <si>
    <t>磁核铁岩</t>
  </si>
  <si>
    <t>精钢甲板</t>
  </si>
  <si>
    <t>坚固精钢板材，制作中型护甲的常用材料。</t>
  </si>
  <si>
    <t>黑曜母岩</t>
  </si>
  <si>
    <t>工具箱</t>
  </si>
  <si>
    <t>收纳各类小工具，方便外出作业与维修。</t>
  </si>
  <si>
    <t>星耀蓝晶</t>
  </si>
  <si>
    <t>炼金烧瓶</t>
  </si>
  <si>
    <t>通用炼金容器，适合调配基础药剂。</t>
  </si>
  <si>
    <t>帝绿宝核</t>
  </si>
  <si>
    <t>水晶研钵</t>
  </si>
  <si>
    <t>通体晶莹却布满细微磨痕，质地温润坚硬，内壁带着长期研磨留下的细碎痕迹。</t>
  </si>
  <si>
    <t>陨心金刚石</t>
  </si>
  <si>
    <t>魔导校准器</t>
  </si>
  <si>
    <t>结构精密，能微调能量波动，使魔导回路保持平稳状态。</t>
  </si>
  <si>
    <t>虹辉欧泊石</t>
  </si>
  <si>
    <t>缠丝骨针</t>
  </si>
  <si>
    <t>兽骨打磨而成，可缝制坚韧兽皮与粗制甲片。</t>
  </si>
  <si>
    <t>龙珀结晶</t>
  </si>
  <si>
    <t>机械核心</t>
  </si>
  <si>
    <t>结构精密紧凑，金属构件泛着冷硬光泽，内部流转着稳定而规律的能量波动。</t>
  </si>
  <si>
    <t>月辉石核</t>
  </si>
  <si>
    <t>偏振水银</t>
  </si>
  <si>
    <t>标准机械齿轮，制作简单机械装置的零件。</t>
  </si>
  <si>
    <t>暗曜黑钻</t>
  </si>
  <si>
    <t>导管</t>
  </si>
  <si>
    <t>疏导液体与气体，是炼金与锻造的辅助配件。</t>
  </si>
  <si>
    <t>辉金矿核</t>
  </si>
  <si>
    <t>小型能量石</t>
  </si>
  <si>
    <t>蕴含微弱能量，可为低级魔导工具供能。</t>
  </si>
  <si>
    <t>深渊玄铁</t>
  </si>
  <si>
    <t>燃料块</t>
  </si>
  <si>
    <t>压缩燃料，为熔炉、炼金炉提供稳定热源。</t>
  </si>
  <si>
    <t>炼金粉</t>
  </si>
  <si>
    <t>基础炼金材料，辅助初级药剂合成反应。</t>
  </si>
  <si>
    <t>冷却液</t>
  </si>
  <si>
    <t>快速冷却高温金属，防止锻造后开裂。</t>
  </si>
  <si>
    <t>木柄锤</t>
  </si>
  <si>
    <t>最基础的敲打工具，仅能处理简易材料。</t>
  </si>
  <si>
    <t>魔兽心脏</t>
  </si>
  <si>
    <t>熔锅</t>
  </si>
  <si>
    <t>粗制熔器，可熔化低熔点基础金属。</t>
  </si>
  <si>
    <t>曼德拉草</t>
  </si>
  <si>
    <t>铆针</t>
  </si>
  <si>
    <t>固定甲片与皮革的基础针具。</t>
  </si>
  <si>
    <t>荒兽角</t>
  </si>
  <si>
    <t>炼金羽毛笔</t>
  </si>
  <si>
    <t>笔触细腻顺滑，适合精细调配药剂、记录炼金反应。</t>
  </si>
  <si>
    <t>利齿</t>
  </si>
  <si>
    <t>魔力探针</t>
  </si>
  <si>
    <t>试探材料状态与药液反应的简易工具。</t>
  </si>
  <si>
    <t>白化兽骨</t>
  </si>
  <si>
    <t>精工铁锤</t>
  </si>
  <si>
    <t>锻打工艺精良，锤身厚重沉稳，表面泛着冷冽的金属光泽，握持处纹理规整。</t>
  </si>
  <si>
    <t>荆棘花刺</t>
  </si>
  <si>
    <t>魔法坩埚</t>
  </si>
  <si>
    <t>壁身铭刻细密魔纹，材质致密耐高温，整体带着淡淡的元素能量余韵。</t>
  </si>
  <si>
    <t>魔蜂毒囊</t>
  </si>
  <si>
    <t>钢束扣</t>
  </si>
  <si>
    <t>简易固定件，用于临时拼接装备部件。</t>
  </si>
  <si>
    <t>石质研钵</t>
  </si>
  <si>
    <t>天然岩块雕琢而成，质地坚硬粗糙，内壁留有长期研磨形成的浅痕。</t>
  </si>
  <si>
    <t>火药</t>
  </si>
  <si>
    <t>颗粒细碎干燥，色泽暗沉，散发着刺鼻且易燃易爆的浓烈气息。</t>
  </si>
  <si>
    <t>备用零件包</t>
  </si>
  <si>
    <t>收纳各类零散构件，规格不一，金属部件泛着暗沉的实用质感。</t>
  </si>
  <si>
    <t>齿轮</t>
  </si>
  <si>
    <t>金属锻造精密，齿纹规整清晰，表面带着轻微使用磨痕与冷硬光泽。</t>
  </si>
  <si>
    <t>钢钉</t>
  </si>
  <si>
    <t>普通固定用钉，用于简易装配与维修。</t>
  </si>
  <si>
    <t>绑带</t>
  </si>
  <si>
    <t>织物坚韧耐磨，表面略有磨损，质地紧实且富有韧性。</t>
  </si>
  <si>
    <t>工具修复包</t>
  </si>
  <si>
    <t>内含各类修补耗材，物件齐全，整体带着实用的工匠气息。</t>
  </si>
  <si>
    <t>炽舌草</t>
  </si>
  <si>
    <t>铁钉</t>
  </si>
  <si>
    <t>锻压成型，身形笔直坚硬，表面泛着朴素的金属暗光，做工规整。</t>
  </si>
  <si>
    <t>冻霜苔</t>
  </si>
  <si>
    <t>燃料包</t>
  </si>
  <si>
    <t>散装燃料，火焰不稳定，仅能简易加热。</t>
  </si>
  <si>
    <t>野兽皮革</t>
  </si>
  <si>
    <t>低级能量瓶</t>
  </si>
  <si>
    <t>储存少量稀薄能量，供最低级魔导工具使用。</t>
  </si>
  <si>
    <t>魔兽毛皮</t>
  </si>
  <si>
    <t>材料包</t>
  </si>
  <si>
    <t>混合基础边角料，可用于新手练习制作。</t>
  </si>
  <si>
    <t>熟铁盔壳</t>
  </si>
  <si>
    <t>粗制熟铁胚，质地普通，是基础护甲材料。</t>
  </si>
  <si>
    <t>裁布剪</t>
  </si>
  <si>
    <t>刃口锋利规整，握柄贴合手掌，金属表面泛着冷亮光泽，剪裁利落顺畅。</t>
  </si>
  <si>
    <t>熟铁镶框</t>
  </si>
  <si>
    <t>粗制铁框，用于加固低级装备。</t>
  </si>
  <si>
    <t>熟铁甲板</t>
  </si>
  <si>
    <t>普通熟铁板料，制作基础护甲的常用材。</t>
  </si>
  <si>
    <t>刻刀</t>
  </si>
  <si>
    <t>钝拙刻具，仅能简单刻画基础纹路。</t>
  </si>
  <si>
    <t>磨刀石</t>
  </si>
  <si>
    <t>石质细密坚硬，表面平整温润，带有长期磨砺留下的均匀浅痕。</t>
  </si>
  <si>
    <t>生命之花</t>
  </si>
  <si>
    <t>线</t>
  </si>
  <si>
    <t>纤维紧实柔韧，色泽朴素，质地顺滑不易断裂，韧性稳定。</t>
  </si>
  <si>
    <t>沼泽毒囊草</t>
  </si>
  <si>
    <t>空瓶</t>
  </si>
  <si>
    <t>瓶身通透洁净，瓶口规整，质地轻薄坚硬，无多余杂质痕迹。</t>
  </si>
  <si>
    <t>高级兽角</t>
  </si>
  <si>
    <t>炼金瓶</t>
  </si>
  <si>
    <t>瓶壁厚实耐蚀，造型精巧，瓶身隐带微弱魔力残留，适合盛装药剂。</t>
  </si>
  <si>
    <t>龙血结块</t>
  </si>
  <si>
    <t>绳子</t>
  </si>
  <si>
    <t>多股编织而成，坚韧耐磨，表面粗糙紧实，承重力强。</t>
  </si>
  <si>
    <t>木材</t>
  </si>
  <si>
    <t>质地干燥紧实，纹理清晰自然，切面平整，带着原木质朴气息。</t>
  </si>
  <si>
    <t>铁锁扣</t>
  </si>
  <si>
    <t>易变形松动，固定效果极差。</t>
  </si>
  <si>
    <t>木尺</t>
  </si>
  <si>
    <t>木料打磨光滑，刻度清晰规整，尺身笔直，做工简洁实用。</t>
  </si>
  <si>
    <t>一盒钉子</t>
  </si>
  <si>
    <t>锈迹铁钉，质地脆弱，敲打时易弯曲。</t>
  </si>
  <si>
    <t>生锈剪刀</t>
  </si>
  <si>
    <t>刃口布满褐锈，开合滞涩，整体陈旧斑驳，带着明显磨损痕迹。</t>
  </si>
  <si>
    <t>矿石材料</t>
  </si>
  <si>
    <t>来自天外陨落的高密度铁矿，内部呈星点结构，硬度远超普通金属，常用于打造传说级武器。</t>
  </si>
  <si>
    <t>与远古龙骨共生的矿层，呈灰白纹理，兼具骨质与矿石的双重坚固特性。</t>
  </si>
  <si>
    <t>天然富集形成的高纯度金矿脉，延展性极强，多用于王室级工艺。</t>
  </si>
  <si>
    <t>含高磁性的铁矿核心岩体，可影响周围金属结构，是高阶装置的关键材料。</t>
  </si>
  <si>
    <t>黑曜石矿脉最核心部分，表面如镜般光滑，具备极强抗冲击能力。</t>
  </si>
  <si>
    <t>极高纯度蓝宝石，内部仿佛有星光流动，是顶级饰品与法器核心材料。</t>
  </si>
  <si>
    <t>血纹赤晶</t>
  </si>
  <si>
    <t>红宝石中天然形成血丝状纹路，象征力量与生命，极具收藏价值。</t>
  </si>
  <si>
    <t>祖母绿中的核心结晶体，色泽浓郁通透，是王权象征级宝石。</t>
  </si>
  <si>
    <t>由陨石冲击形成的钻石，晶体结构异常稳定，切割后光芒极强。</t>
  </si>
  <si>
    <t>内部呈现流动彩光的欧泊，色彩变化丰富，是稀有收藏级宝石。</t>
  </si>
  <si>
    <t>包裹远古生物残片的琥珀，既具研究价值也具极高观赏性。</t>
  </si>
  <si>
    <t>散发柔和光晕的月光石核心，常用于高阶装饰与仪式用途。</t>
  </si>
  <si>
    <t>卫兵残魂</t>
  </si>
  <si>
    <t>深色钻石，吸光性强，呈现低调而神秘的光泽。</t>
  </si>
  <si>
    <t>狂化气息</t>
  </si>
  <si>
    <t>金属富集的矿核结构，呈明亮金色光泽，是高级锻造材料。</t>
  </si>
  <si>
    <t>大地之息</t>
  </si>
  <si>
    <t>来自地底深层的黑铁矿，质地沉重坚硬，耐久性极强。</t>
  </si>
  <si>
    <t>魔力萃取液</t>
  </si>
  <si>
    <t>蕴含精纯金力的未锻胚体，质地致密，泛着温润的金属辉光。</t>
  </si>
  <si>
    <t>调律之尘</t>
  </si>
  <si>
    <t>矿质赤红滚烫，蕴含灼热火气，纹理间泛着金红流光，触感温热燥烈。</t>
  </si>
  <si>
    <t>奥能粉尘</t>
  </si>
  <si>
    <t>经配比熔炼的赤铜合金，色泽赤红，兼具硬度与延展性。</t>
  </si>
  <si>
    <t>虚域残片</t>
  </si>
  <si>
    <t>内嵌金丝脉络的石英晶体，光华内敛，结构稳定，魔力传导平顺。</t>
  </si>
  <si>
    <t>元素粉末</t>
  </si>
  <si>
    <t>融合青金石精粹的锡材，色泽幽蓝温润，质感细腻。</t>
  </si>
  <si>
    <t>时光微尘</t>
  </si>
  <si>
    <t>裹挟星力的白银核心，通体莹白，自带圣洁的星芒光辉。</t>
  </si>
  <si>
    <t>轻风之羽</t>
  </si>
  <si>
    <t>凝练虚空能量的湛蓝晶核，内部流转着幽邃的空间涟漪。</t>
  </si>
  <si>
    <t>锐化晶砂</t>
  </si>
  <si>
    <t>封存烈焰本源的赤色晶核，通体赤红，常年散发着灼热气息。</t>
  </si>
  <si>
    <t>战士执念</t>
  </si>
  <si>
    <t>色泽幽蓝深沉，产自地底深脉，质地致密坚硬，带着阴冷厚重的矿质气息。</t>
  </si>
  <si>
    <t>狂化能量</t>
  </si>
  <si>
    <t>源自地脉核心的原石，质地浑厚朴实，流转着沉稳浓郁的土系能量。</t>
  </si>
  <si>
    <t>大地精华</t>
  </si>
  <si>
    <t>经炼狱熔岩淬炼的玛瑙，纹理如焰，表面流转着灼热的暗红光晕。</t>
  </si>
  <si>
    <t>秘银粉末</t>
  </si>
  <si>
    <t>天外陨落的铁料，表面带着熔蚀痕迹，金属质地精纯，泛着暗银冷光。</t>
  </si>
  <si>
    <t>活化试剂</t>
  </si>
  <si>
    <t>晶体暗沉幽紫，内部似有黑雾流转，散发着阴冷晦涩的暗影气息。</t>
  </si>
  <si>
    <t>时光砂砾</t>
  </si>
  <si>
    <t>地底凝结的矿核，质地圆实厚重，布满天然岩纹，气息沉稳内敛。</t>
  </si>
  <si>
    <t>英雄意志</t>
  </si>
  <si>
    <t>天外陨铁裹挟烈焰形成的矿料，通体赤红，萦绕着灼热的星界气息。</t>
  </si>
  <si>
    <t>锐化晶簇</t>
  </si>
  <si>
    <t>星脉中孕育的晶质石英，脉络如星河，光华流转，结构致密稳定。</t>
  </si>
  <si>
    <t>流云之翎</t>
  </si>
  <si>
    <t>火山深处形成的火铜原矿，色泽赤亮，自带不灭的火属性能量。</t>
  </si>
  <si>
    <t>狂化魔核</t>
  </si>
  <si>
    <t>黑曜岩层与花岗岩交融的晶岩，质地坚不可摧，泛着深邃的暗芒。</t>
  </si>
  <si>
    <t>大地之心</t>
  </si>
  <si>
    <t>极寒之地凝结的方解晶核，通体冰透，散发着彻骨的寒气。</t>
  </si>
  <si>
    <t>变异诱剂</t>
  </si>
  <si>
    <t>深海深渊孕育的蓝宝原晶，色泽幽邃，封存着深海的静谧之力。</t>
  </si>
  <si>
    <t>时光河水</t>
  </si>
  <si>
    <t>铁料精纯细腻，天然带有细密纹路，锻压性极佳，金属光泽冷亮。</t>
  </si>
  <si>
    <t>裂空之翼</t>
  </si>
  <si>
    <t>冰晶般湛蓝通透，触感冰寒刺骨，内部散发出清冷凛冽的能量波动。</t>
  </si>
  <si>
    <t>雷霆聚能核</t>
  </si>
  <si>
    <t>幽渊深处生长的水晶原簇，晶柱挺拔，萦绕着淡淡的暗影魔力。</t>
  </si>
  <si>
    <t>锐化晶阵</t>
  </si>
  <si>
    <t>天然形成的欧泊原矿，随光变幻虹彩，内部流转着斑斓的光晕。</t>
  </si>
  <si>
    <t>灵能水晶</t>
  </si>
  <si>
    <t>蕴含灵丝纹理的纤维石膏，质地细腻，泛着柔和的微光。</t>
  </si>
  <si>
    <t>原初能核</t>
  </si>
  <si>
    <t>经初步淬火的熟铁矿料，质地坚实，色泽沉稳，杂质含量较低。</t>
  </si>
  <si>
    <t>元素之心</t>
  </si>
  <si>
    <t>玄岩层产出的矿料，质地坚硬，自带微弱的磁性能量。</t>
  </si>
  <si>
    <t>永燃之心</t>
  </si>
  <si>
    <t>色泽银白柔和，泛着淡淡月华般微光，晶体纯净，质地温润轻灵。</t>
  </si>
  <si>
    <t>深海之心</t>
  </si>
  <si>
    <t>初步熔炼的熟铜矿料，色泽赤红，延展性与导热性均衡。</t>
  </si>
  <si>
    <t>风暴之心</t>
  </si>
  <si>
    <t>混杂多色结晶的普通原石，色泽驳杂，导魔能力微弱。</t>
  </si>
  <si>
    <t>星光之心</t>
  </si>
  <si>
    <t>破碎的虹彩晶屑，色泽暗淡，结晶结构残缺，能量稀薄。</t>
  </si>
  <si>
    <t>色泽灰褐暗沉，矿质朴实厚重，质地坚硬，带着浓郁的原生金属气息。</t>
  </si>
  <si>
    <t>带有残损裂隙的矿坯，内部结构松散，仅能勉强利用。</t>
  </si>
  <si>
    <t>带有天然岩纹的普通岩石，无特殊属性，质地坚实。</t>
  </si>
  <si>
    <t>产自高原岩层，石质青灰斑驳，质地致密冷硬，蕴含稳定的矿质能量。</t>
  </si>
  <si>
    <t>矿身遍布赤红纹路，铜质温润亮眼，质地柔韧，光泽鲜亮纯粹。</t>
  </si>
  <si>
    <t>纹理杂乱的彩晶石，魔力紊乱，结晶纯度极低。</t>
  </si>
  <si>
    <t>无特殊纹理的普通晶坯，质地普通，仅作基础填充。</t>
  </si>
  <si>
    <t>色泽青黄古朴，矿质紧实温润，纹理自然交错，带着沉稳的原生质感。</t>
  </si>
  <si>
    <t>龙焰锻造卷轴</t>
  </si>
  <si>
    <t>秘录卷轴</t>
  </si>
  <si>
    <t>记录利用龙焰提升锻造温度的方法，可打造附带火焰属性的高阶装备。</t>
  </si>
  <si>
    <t>天空航行地图</t>
  </si>
  <si>
    <t>标示浮空岛与高空航线位置，是探索天空区域的重要地图。</t>
  </si>
  <si>
    <t>元素融合卷轴</t>
  </si>
  <si>
    <t>可将多种元素力量融合，释放范围性强力魔法。</t>
  </si>
  <si>
    <t>帝国战争总图</t>
  </si>
  <si>
    <t>完整记录大型战争的布阵与推进路线，可用于制定全面作战计划。</t>
  </si>
  <si>
    <t>远古文明记录卷</t>
  </si>
  <si>
    <t>记载远古文明的兴衰与遗迹位置，对探索极有价值。</t>
  </si>
  <si>
    <t>王位继承密令</t>
  </si>
  <si>
    <t>涉及王位继承的重要文件，具有极高政治与权力价值。</t>
  </si>
  <si>
    <t>高级符文核心图</t>
  </si>
  <si>
    <t>用于制作顶级魔导装备的核心结构图，决定装备性能上限。</t>
  </si>
  <si>
    <t>深渊能量封印卷</t>
  </si>
  <si>
    <t>可储存并释放强大深渊能量，常用于战斗或仪式。</t>
  </si>
  <si>
    <t>星象定位图</t>
  </si>
  <si>
    <t>通过星辰位置判断方位，可用于远距离定位与导航。</t>
  </si>
  <si>
    <t>高阶召唤契约卷</t>
  </si>
  <si>
    <t>用于召唤强大生物或存在协助战斗，具有一定风险。</t>
  </si>
  <si>
    <t>诸神之战记录</t>
  </si>
  <si>
    <t>记载古代神战过程，是研究强大力量来源的重要资料</t>
  </si>
  <si>
    <t>精工武器图谱</t>
  </si>
  <si>
    <t>包含多种高品质武器的锻造流程与材料配比。</t>
  </si>
  <si>
    <t>边境防御布阵图</t>
  </si>
  <si>
    <t>用于边境防御部署，标注地形优势与兵力配置。</t>
  </si>
  <si>
    <t>秘银矿脉地图</t>
  </si>
  <si>
    <t>标示秘银矿分布位置，适用于资源开采。</t>
  </si>
  <si>
    <t>元素强化卷轴</t>
  </si>
  <si>
    <t>可临时强化武器的元素属性，提高战斗效率。</t>
  </si>
  <si>
    <t>王城财务档案</t>
  </si>
  <si>
    <t>记录王城财政收支与资源分配情况。</t>
  </si>
  <si>
    <t>骑士团战术手册</t>
  </si>
  <si>
    <t>详细描述骑士团作战方式与阵型变化。</t>
  </si>
  <si>
    <t>古代工艺笔记</t>
  </si>
  <si>
    <t>记录古代工匠技艺与工具使用方法。</t>
  </si>
  <si>
    <t>符文组件图纸</t>
  </si>
  <si>
    <t>用于制作中级魔导设备的关键组件。</t>
  </si>
  <si>
    <t>能量储存卷</t>
  </si>
  <si>
    <t>可储存魔力并在需要时释放，用于持续供能。</t>
  </si>
  <si>
    <t>航海航线图</t>
  </si>
  <si>
    <t>记录主要海上航线与危险区域。</t>
  </si>
  <si>
    <t>火焰附魔卷轴</t>
  </si>
  <si>
    <t>为武器附加火焰效果，适用于战斗强化。</t>
  </si>
  <si>
    <t>贵族密信集</t>
  </si>
  <si>
    <t>包含多封贵族间往来信件，涉及利益与阴谋</t>
  </si>
  <si>
    <t>基础锻造手册</t>
  </si>
  <si>
    <t>介绍常见武器装备的制作流程。</t>
  </si>
  <si>
    <t>区域地形图</t>
  </si>
  <si>
    <t>标示区域地貌与主要资源点。</t>
  </si>
  <si>
    <t>闪光术卷轴</t>
  </si>
  <si>
    <t>释放强光干扰敌人视线。</t>
  </si>
  <si>
    <t>小队战术笔记</t>
  </si>
  <si>
    <t>记录小规模战斗的协同策略。</t>
  </si>
  <si>
    <t>城镇发展记录</t>
  </si>
  <si>
    <t>记载城镇建设与发展历程。</t>
  </si>
  <si>
    <t>工坊订单文件</t>
  </si>
  <si>
    <t>记录生产订单与交付需求。</t>
  </si>
  <si>
    <t>精制符文核心</t>
  </si>
  <si>
    <t>承载着稳定符文能量的炼金造物，核心内部符文流转，蕴含着精纯的魔法本源。</t>
  </si>
  <si>
    <t>魔力补给卷</t>
  </si>
  <si>
    <t>恢复一定魔力的消耗品</t>
  </si>
  <si>
    <t>简易锻造图</t>
  </si>
  <si>
    <t>提供基础装备制作参考。</t>
  </si>
  <si>
    <t>标准符文模组</t>
  </si>
  <si>
    <t>标示村庄与周边道路。</t>
  </si>
  <si>
    <t>单质符文基材</t>
  </si>
  <si>
    <t>记录简单法术，可供初学者使用</t>
  </si>
  <si>
    <t>手工制作笔记</t>
  </si>
  <si>
    <t>记录简单工具制作方法。</t>
  </si>
  <si>
    <t>小径路线图</t>
  </si>
  <si>
    <t>标示常用行走路线。</t>
  </si>
  <si>
    <t>火花术卷轴</t>
  </si>
  <si>
    <t>产生微弱火花，用于照明</t>
  </si>
  <si>
    <t>旧锻造纸稿</t>
  </si>
  <si>
    <t>残缺的锻造记录，信息有限。</t>
  </si>
  <si>
    <t>简略草图</t>
  </si>
  <si>
    <t>粗略绘制的地形图。</t>
  </si>
  <si>
    <t>粗制符文石</t>
  </si>
  <si>
    <t>记录简单事项说明。</t>
  </si>
  <si>
    <t>破旧卷轴碎片</t>
  </si>
  <si>
    <t>残破卷轴，可作为基础材料使用</t>
  </si>
  <si>
    <t>元素能量</t>
  </si>
  <si>
    <t>多种元素汇聚成的核心，内部能量缓慢流转，极其稳定。</t>
  </si>
  <si>
    <t>永不熄灭的火焰核心，持续释放炽热力量。</t>
  </si>
  <si>
    <t>压缩水元素形成的核心，内部如潮水般翻涌。</t>
  </si>
  <si>
    <t>雷与风交织的能量核心，闪电不断游走。</t>
  </si>
  <si>
    <t>来自地脉深处的能量核心，厚重而稳定。</t>
  </si>
  <si>
    <t>凝聚星辰之力形成的光球，闪烁微光。</t>
  </si>
  <si>
    <t>晶体澄澈通透，内部流转着柔和灵光，蕴含精纯而稳定的精神能量。</t>
  </si>
  <si>
    <t>流淌着时光残响的液态能量，水体泛着淡金流光，内部漂浮着细碎的时光微粒。</t>
  </si>
  <si>
    <t>撕裂空间后凝结的能量残翼，翼身萦绕着空间乱流，泛着凛冽的金芒。</t>
  </si>
  <si>
    <t>由锐化能量凝练的固态晶阵，阵纹精密，金辉流转，刃气内敛。</t>
  </si>
  <si>
    <t>雷霆之力压缩而成的聚能核心，内部雷光奔涌，金芒炸裂，能量躁动。</t>
  </si>
  <si>
    <t>时光长河中冲刷出的细碎沙砾，每一粒都封存着微量时光能量，泛着幽紫微光。</t>
  </si>
  <si>
    <t>风元素凝聚而成的流云翎羽，羽身轻盈，紫雾缭绕，风息涌动。</t>
  </si>
  <si>
    <t>锐化能量生长出的晶簇，晶体锋利，紫芒闪烁，刃气四溢。</t>
  </si>
  <si>
    <t>英雄战死时凝结的意志残响，能量凝练，紫雾升腾，战意不灭。</t>
  </si>
  <si>
    <t>狂化生物的核心魔核，内部魔焰翻涌，紫辉炽烈，能量狂暴。</t>
  </si>
  <si>
    <t>大地深处孕育的能量核心，岩纹遍布，紫芒沉稳，土力厚重。</t>
  </si>
  <si>
    <t>诱发能量变异的炼金试剂，液体幽紫，气泡翻涌，能量活性极强。</t>
  </si>
  <si>
    <t>时光能量散逸出的微尘，颗粒细小，泛着淡蓝微光，随风而动。</t>
  </si>
  <si>
    <t>轻风元素凝结的羽状物，羽身轻薄，蓝光流转，风息柔和。</t>
  </si>
  <si>
    <t>锐化能量研磨成的晶砂，颗粒锋利，蓝光闪烁，刃气细碎。</t>
  </si>
  <si>
    <t>战士战死时残留的执念能量，能量凝练，蓝雾升腾，战意未消。</t>
  </si>
  <si>
    <t>狂化生物散逸出的能量团，内部魔焰跳动，蓝光炽烈，能量躁动。</t>
  </si>
  <si>
    <t>大地能量提纯的精华，岩屑悬浮，蓝光沉稳，土力充盈。</t>
  </si>
  <si>
    <t>秘银研磨成的细粉，银蓝光泽，金属感强烈，蕴含魔法亲和性。</t>
  </si>
  <si>
    <t>充盈着原始元素之力的活化原液，能量躁动，液身流转微光。</t>
  </si>
  <si>
    <t>粉末细碎莹白，轻飘易散，泛着微淡奥术辉光，带着精纯魔法气息。</t>
  </si>
  <si>
    <t>卫兵战死时残留的残魂能量，能量稀薄，绿雾缭绕，战意微弱。</t>
  </si>
  <si>
    <t>狂化生物散逸出的气息，能量淡薄，绿雾翻涌，狂性残留。</t>
  </si>
  <si>
    <t>大地散发出的自然气息，能量温和，绿雾升腾，土力舒缓。</t>
  </si>
  <si>
    <t>从魔法生物中萃取的魔力液体，色泽淡绿，能量纯净，魔法波动柔和。</t>
  </si>
  <si>
    <t>用于调和能量的细碎尘粒，泛着淡绿微光，能量稳定，亲和性强。</t>
  </si>
  <si>
    <t>宝石王冠</t>
  </si>
  <si>
    <t>艺术古董</t>
  </si>
  <si>
    <t>镶嵌于王冠中央的主宝石，象征至高统治权，曾见证王朝更替。</t>
  </si>
  <si>
    <t>愚者之牌</t>
  </si>
  <si>
    <t>精灵王雕像</t>
  </si>
  <si>
    <t>以远古精灵王为原型雕刻，传说可微弱感应自然魔力。</t>
  </si>
  <si>
    <t>魔术师之牌</t>
  </si>
  <si>
    <t>纯金权杖</t>
  </si>
  <si>
    <t>王权象征之物，通体纯金打造，历任统治者加持过祝福。</t>
  </si>
  <si>
    <t>女祭司之牌</t>
  </si>
  <si>
    <t>远古金币铸板</t>
  </si>
  <si>
    <t>尚未切割的整板古代金币原胚，纯度极高，极具价值。</t>
  </si>
  <si>
    <t>皇后之牌</t>
  </si>
  <si>
    <t>神殿祭器</t>
  </si>
  <si>
    <t>用于神殿大型仪式的核心器具，残留神圣能量痕迹。</t>
  </si>
  <si>
    <t>皇帝之牌</t>
  </si>
  <si>
    <t>龙鳞护符</t>
  </si>
  <si>
    <t>由真龙鳞片制成，可抵御部分魔法侵蚀。</t>
  </si>
  <si>
    <t>教皇之牌</t>
  </si>
  <si>
    <t>王室徽章</t>
  </si>
  <si>
    <t>象征皇室血统的标志，仅核心贵族持有。</t>
  </si>
  <si>
    <t>恋人之牌</t>
  </si>
  <si>
    <t>龙蛋化石</t>
  </si>
  <si>
    <t>极其稀有的龙类遗存，具有极高收藏与研究价值。</t>
  </si>
  <si>
    <t>战车之牌</t>
  </si>
  <si>
    <t>黄金雕像</t>
  </si>
  <si>
    <t>以整块黄金铸造的雕像，多用于纪念英雄或神祇。</t>
  </si>
  <si>
    <t>力量之牌</t>
  </si>
  <si>
    <t>封印符文石匣</t>
  </si>
  <si>
    <t>刻满封印符文的石制器具，内部曾封存高危遗物。</t>
  </si>
  <si>
    <t>隐者之牌</t>
  </si>
  <si>
    <t>精灵乐器</t>
  </si>
  <si>
    <t>精灵族遗留的乐器，可演奏出影响心神的旋律。</t>
  </si>
  <si>
    <t>命运之轮</t>
  </si>
  <si>
    <t>远古遗物碎片</t>
  </si>
  <si>
    <t>来自失落文明的重要残片，具备研究意义。</t>
  </si>
  <si>
    <t>正义之牌</t>
  </si>
  <si>
    <t>远古神器碎片</t>
  </si>
  <si>
    <t>破碎神器的一部分，仍残留强烈能量波动。</t>
  </si>
  <si>
    <t>倒吊人之牌</t>
  </si>
  <si>
    <t>王室宝石陈列架</t>
  </si>
  <si>
    <t>用于展示皇室珠宝的架台，本身即为贵重工艺品。</t>
  </si>
  <si>
    <t>死神之牌</t>
  </si>
  <si>
    <t>帝国战旗</t>
  </si>
  <si>
    <t>曾在大战中飘扬的旗帜，象征帝国荣耀与胜利。</t>
  </si>
  <si>
    <t>节制之牌</t>
  </si>
  <si>
    <t>黄金圣杯</t>
  </si>
  <si>
    <t>用于神圣仪式的圣杯，镶嵌多枚稀有宝石。</t>
  </si>
  <si>
    <t>恶魔之牌</t>
  </si>
  <si>
    <t>龙骨雕刻</t>
  </si>
  <si>
    <t>以龙骨为材料雕刻，极其坚固且稀有。</t>
  </si>
  <si>
    <t>高塔之牌</t>
  </si>
  <si>
    <t>古代机关锁核</t>
  </si>
  <si>
    <t>复杂机关的核心部件，曾用于守护重要宝藏。</t>
  </si>
  <si>
    <t>星辰之牌</t>
  </si>
  <si>
    <t>王权象征戒</t>
  </si>
  <si>
    <t>历代君主佩戴的戒指，代表统治合法性。</t>
  </si>
  <si>
    <t>月亮之牌</t>
  </si>
  <si>
    <t>帝国宝库钥匙</t>
  </si>
  <si>
    <t>开启帝国金库的关键物品，价值极高。</t>
  </si>
  <si>
    <t>太阳之牌</t>
  </si>
  <si>
    <t>远古王座碎片</t>
  </si>
  <si>
    <t>王座残片，象征昔日王权的遗迹。</t>
  </si>
  <si>
    <t>审判之牌</t>
  </si>
  <si>
    <t>王室秘藏铭文卷</t>
  </si>
  <si>
    <t>记录王室隐秘财产与传承的古老文书。</t>
  </si>
  <si>
    <t>世界之牌</t>
  </si>
  <si>
    <t>镶宝石王冠</t>
  </si>
  <si>
    <t>镶嵌多种稀有宝石的王冠，象征绝对权力。</t>
  </si>
  <si>
    <t>残银旧戒</t>
  </si>
  <si>
    <t>古龙金币堆</t>
  </si>
  <si>
    <t>传说中龙族收藏的金币，数量巨大且纯度极高。</t>
  </si>
  <si>
    <t>城镇铜币</t>
  </si>
  <si>
    <t>精灵王权戒指</t>
  </si>
  <si>
    <t>精灵王族的象征物，具有独特魔法纹路。</t>
  </si>
  <si>
    <t>旧纹木匣</t>
  </si>
  <si>
    <t>帝国皇室印章</t>
  </si>
  <si>
    <t>用于发布最高命令的官方印章。</t>
  </si>
  <si>
    <t>民用陶杯</t>
  </si>
  <si>
    <t>远古祭坛核心</t>
  </si>
  <si>
    <t>祭坛的能量核心，曾用于召唤仪式。</t>
  </si>
  <si>
    <t>褪色旧饰</t>
  </si>
  <si>
    <t>龙血宝石瓶</t>
  </si>
  <si>
    <t>封存龙血结晶的容器，极其稀有。</t>
  </si>
  <si>
    <t>断角石像</t>
  </si>
  <si>
    <t>黄金龙首雕像</t>
  </si>
  <si>
    <t>雕刻龙首形象的纯金雕像，象征力量与财富。</t>
  </si>
  <si>
    <t>铜扣挂件</t>
  </si>
  <si>
    <t>魔导王权卷轴</t>
  </si>
  <si>
    <t>记录王权法术的古老卷轴，仅少数人能解读。</t>
  </si>
  <si>
    <t>旧王朝银币</t>
  </si>
  <si>
    <t>圣殿神像残件</t>
  </si>
  <si>
    <t>神像的一部分，仍带有神圣气息。</t>
  </si>
  <si>
    <t>黄铜纹戒</t>
  </si>
  <si>
    <t>帝国封印金锭</t>
  </si>
  <si>
    <t>带有官方封印的巨型金锭，来源明确且极具价值。</t>
  </si>
  <si>
    <t>旧铜饮杯</t>
  </si>
  <si>
    <t>精灵宝石琴</t>
  </si>
  <si>
    <t>镶嵌宝石的乐器，演奏时可产生魔法共鸣。</t>
  </si>
  <si>
    <t>玻珠坠链</t>
  </si>
  <si>
    <t>远古王族项链</t>
  </si>
  <si>
    <t>王族佩戴的饰品，象征血统与地位。</t>
  </si>
  <si>
    <t>旧饰匣</t>
  </si>
  <si>
    <t>巨龙遗骸头骨</t>
  </si>
  <si>
    <t>巨龙头骨遗骸，极具威慑与收藏价值。</t>
  </si>
  <si>
    <t>市集石雕</t>
  </si>
  <si>
    <t>魔法皇室怀表</t>
  </si>
  <si>
    <t>具备轻微时间校准能力的珍贵怀表。</t>
  </si>
  <si>
    <t>圣徽挂坠</t>
  </si>
  <si>
    <t>王城铸印金币卷</t>
  </si>
  <si>
    <t>成卷封存的王城金币，带有官方印记。</t>
  </si>
  <si>
    <t>古老的罗盘</t>
  </si>
  <si>
    <t>符文王权宝珠</t>
  </si>
  <si>
    <t>刻有符文的宝珠，可储存魔力。</t>
  </si>
  <si>
    <t>圣堂壁画碎片</t>
  </si>
  <si>
    <t>古代王座扶手</t>
  </si>
  <si>
    <t>王座的一部分，象征统治权延续。</t>
  </si>
  <si>
    <t>异教徒雕塑</t>
  </si>
  <si>
    <t>帝国荣誉勋章套组</t>
  </si>
  <si>
    <t>包含多枚最高级荣誉勋章的完整收藏组合。</t>
  </si>
  <si>
    <t>月纹银戒</t>
  </si>
  <si>
    <t>镀金圣杯</t>
  </si>
  <si>
    <t>用于贵族宴会的器具，虽非纯金但工艺精良，市场流通广。</t>
  </si>
  <si>
    <t>边城铸金币袋</t>
  </si>
  <si>
    <t>银质王室戒指</t>
  </si>
  <si>
    <t>带有王室纹章的戒指，象征身份但并非唯一传承物。</t>
  </si>
  <si>
    <t>鹿纹雕木匣</t>
  </si>
  <si>
    <t>宝石项链</t>
  </si>
  <si>
    <t>镶嵌多颗中等品质宝石，典型贵族装饰品。</t>
  </si>
  <si>
    <t>赤铜宴杯</t>
  </si>
  <si>
    <t>贵族金币串</t>
  </si>
  <si>
    <t>以绳索串联的金币组合，便于携带且数量稳定。</t>
  </si>
  <si>
    <t>仪礼短剑</t>
  </si>
  <si>
    <t>精致雕像</t>
  </si>
  <si>
    <t>手工雕刻的装饰雕像，常见于富裕家庭。</t>
  </si>
  <si>
    <t>星盘旧怀表</t>
  </si>
  <si>
    <t>古代银盘</t>
  </si>
  <si>
    <t>保存完好的银质餐具，具有一定历史价值。</t>
  </si>
  <si>
    <t>守塔石像</t>
  </si>
  <si>
    <t>镶银匕首</t>
  </si>
  <si>
    <t>以装饰为主的匕首，贵族随身收藏品。</t>
  </si>
  <si>
    <t>百合银链</t>
  </si>
  <si>
    <t>贵族徽章</t>
  </si>
  <si>
    <t>雕纹精致繁复，金属鎏金斑驳，镌刻家族纹章，带着悠久岁月的华贵气息。</t>
  </si>
  <si>
    <t>城卫旧徽</t>
  </si>
  <si>
    <t>金边书籍</t>
  </si>
  <si>
    <t>装帧华丽的典籍，多为收藏或展示用途。</t>
  </si>
  <si>
    <t>镀银礼盘</t>
  </si>
  <si>
    <t>雕花储物匣板</t>
  </si>
  <si>
    <t>原为贵族储物匣的一部分，雕刻精美，具独立收藏价值。</t>
  </si>
  <si>
    <t>修道院抄本</t>
  </si>
  <si>
    <t>精灵银笛</t>
  </si>
  <si>
    <t>精灵工艺制作的乐器，音色清澈，具收藏价值。</t>
  </si>
  <si>
    <t>双枝铜烛台</t>
  </si>
  <si>
    <t>宝石镶嵌首饰托盘</t>
  </si>
  <si>
    <t>用于陈列首饰的托盘，本身亦为贵重工艺品。</t>
  </si>
  <si>
    <t>雕花首饰匣</t>
  </si>
  <si>
    <t>符文戒指</t>
  </si>
  <si>
    <t>刻有基础符文的戒指，具轻微魔法效果。</t>
  </si>
  <si>
    <t>切面旧宝石</t>
  </si>
  <si>
    <t>银质烛台</t>
  </si>
  <si>
    <t>贵族常用照明器具，做工细腻。</t>
  </si>
  <si>
    <t>旧贵族餐具</t>
  </si>
  <si>
    <t>金丝披肩扣</t>
  </si>
  <si>
    <t>用于固定披肩的饰品，常见于贵族服饰。</t>
  </si>
  <si>
    <t>宝石耳坠</t>
  </si>
  <si>
    <t>镶嵌宝石的耳饰，易于交易。</t>
  </si>
  <si>
    <t>古老怀表</t>
  </si>
  <si>
    <t>雕刻酒杯</t>
  </si>
  <si>
    <t>带有精细纹路的酒杯，宴会常用品。</t>
  </si>
  <si>
    <t>魔法浮雕板</t>
  </si>
  <si>
    <t>贵族餐具套</t>
  </si>
  <si>
    <t>一整套银质餐具，体现家庭财力。</t>
  </si>
  <si>
    <t>魔法乐器八音盒</t>
  </si>
  <si>
    <t>铸纹金币条</t>
  </si>
  <si>
    <t>压制成条的金币组合，便于计量与交易。</t>
  </si>
  <si>
    <t>水晶摆件</t>
  </si>
  <si>
    <t>魔法书封皮</t>
  </si>
  <si>
    <t>遗失内容的魔法书封面，仍具收藏价值。</t>
  </si>
  <si>
    <t>装饰盾牌</t>
  </si>
  <si>
    <t>用于展示的盾牌，象征骑士荣誉。</t>
  </si>
  <si>
    <t>表壳磨损泛旧，机芯纹路精密，表盘字迹模糊，留存着尘封时代的余温。</t>
  </si>
  <si>
    <t>战争纪念章</t>
  </si>
  <si>
    <t>宝石胸针</t>
  </si>
  <si>
    <t>镶嵌宝石的小型饰品，贵族常用。</t>
  </si>
  <si>
    <t>魔法沙漏</t>
  </si>
  <si>
    <t>石板刻有神秘浮雕，纹路深邃古朴，隐散微弱魔力，充满上古艺术气息。</t>
  </si>
  <si>
    <t>象牙骰子</t>
  </si>
  <si>
    <t>造型精巧典雅，机芯运转滞涩，奏响残缺旋律，带着梦幻而陈旧的艺术感。</t>
  </si>
  <si>
    <t>雕花镜子</t>
  </si>
  <si>
    <t>装饰精美的镜子，贵族房间常见物。</t>
  </si>
  <si>
    <t>精灵手镯</t>
  </si>
  <si>
    <t>精灵工艺制作的饰品，设计优雅。</t>
  </si>
  <si>
    <t>晶体通透莹润，雕琢细腻考究，历经岁月摩挲，泛着沉静优雅的光泽。</t>
  </si>
  <si>
    <t>金边卷轴芯轴</t>
  </si>
  <si>
    <t>卷轴内部支撑结构，材质昂贵且工艺考究。</t>
  </si>
  <si>
    <t>雕刻酒壶</t>
  </si>
  <si>
    <t>宴会用酒具，雕刻工艺精细。</t>
  </si>
  <si>
    <t>铸纹硬朗肃穆，边缘磕碰磨损，铭刻战役印记，承载厚重的历史荣光。</t>
  </si>
  <si>
    <t>沙粒流光溢彩，器型典雅古朴，流转时间魔力，充满神秘艺术美感。</t>
  </si>
  <si>
    <t>质地温润乳白，表面刻纹规整清晰，带着岁月留下的细腻包浆，尽显古旧雅致。</t>
  </si>
  <si>
    <t>戒面刻有半月纹与细小卷草边饰，常见于旧贵族支系的成年礼饰物，虽非名门重器，但带有明确家族审美。</t>
  </si>
  <si>
    <t>内装数枚边境城邦旧金币，币面纹章已有磨损，能看出不同年代混杂流通的痕迹，具有地方财政史价值。</t>
  </si>
  <si>
    <t>盒盖刻有林地鹿首与藤叶纹，常见于北境木匠行会作品，兼具收纳与陈设功能，具明显民间工艺风格。</t>
  </si>
  <si>
    <t>杯腹敲出环形饰带与葡萄枝纹，多用于小贵族家宴或节庆饮酒，保存尚可，具有典型宴饮器物特征。</t>
  </si>
  <si>
    <t>剑身不开锋，护手带装饰纹，属于典礼佩饰而非战斗兵器，常用于授勋、婚礼或誓约场合。</t>
  </si>
  <si>
    <t>表盖内侧压有简化星盘纹样，工艺不算顶级，但兼具实用与装饰意义，常见于学士与旅行者旧藏。</t>
  </si>
  <si>
    <t>小型石雕，造型多为守望者或持灯侍者，原用于宅邸书架或塔楼壁龛，带有明确陈设用途。</t>
  </si>
  <si>
    <t>链节之间嵌有百合纹片，是旧王都常见的女性礼饰样式，工艺端正但材质并不稀有。</t>
  </si>
  <si>
    <t>来自旧城卫军体系的胸徽，表面釉彩已褪，但盾纹与编号仍可辨认，具一定制度与军政史意味。</t>
  </si>
  <si>
    <t>原用于宴会呈果或献礼，盘沿保留花叶浅浮雕，虽镀层磨损明显，但仍带有礼器陈设感。</t>
  </si>
  <si>
    <t>记录节庆祷文与日常戒律的旧抄本，文字内容并不稀罕，但页边手绘首字装饰保存较好。</t>
  </si>
  <si>
    <t>常见于小礼拜堂或家族餐厅中央，底座带有卷叶纹与蜡泪沉积，能体现长期使用痕迹。</t>
  </si>
  <si>
    <t>匣面以细密花藤与鸟雀纹作饰，属于中产家族常见嫁妆器，工艺完整，陈设感强于实用性。</t>
  </si>
  <si>
    <t>经过早期工艺切磨的彩色宝石，火彩一般，却能明显看出旧式打磨风格，适合作为再镶嵌材料。</t>
  </si>
  <si>
    <t>一组不完全成套的旧餐刀叉与匙具，柄尾带浅纹章，来源应为没落宅邸清出之物。</t>
  </si>
  <si>
    <t>盘面字迹褪色，指针运转滞缓，刻有星象纹路，带着探险时代的古旧韵味。</t>
  </si>
  <si>
    <t>残片色彩斑驳，绘有神圣纹样，颜料剥落陈旧，留存上古圣堂艺术痕迹。</t>
  </si>
  <si>
    <t>造型诡谲怪诞，雕工粗粝狰狞，材质暗沉古朴，散发邪异神秘的艺术气息。</t>
  </si>
  <si>
    <t>边缘磨平的旧制银币，币面头像与铭文已不完整，但仍能看出曾属某一代王朝铸币体系。</t>
  </si>
  <si>
    <t>以压印花纹制成的普通装饰戒，多见于市镇匠铺作品，带有基础时代感但收藏价值有限。</t>
  </si>
  <si>
    <t>杯壁留有长期擦洗痕迹，属于常见民间酒器，样式朴素，却保留一定地方生活器物风貌。</t>
  </si>
  <si>
    <t>用染色玻珠与金属链拼成的旧饰品，常见于节庆集市，具有民俗装饰意味。</t>
  </si>
  <si>
    <t>小型收纳匣，边缘有简单压花与铜扣，虽非精工制品，但仍比普通杂物更具陈设属性。</t>
  </si>
  <si>
    <t>常见于喷泉边或宅门前的小型石雕摆件，造型多为鸟兽或孩童，带有旧城日常装饰感。</t>
  </si>
  <si>
    <t>低阶信众佩戴的护身挂坠，图案简洁，材质普通，但仍能体现教会体系下的工艺风格。</t>
  </si>
  <si>
    <t>银层已薄、纹样难辨的旧戒，虽保存较差，但仍看得出曾属于某种礼饰体系。</t>
  </si>
  <si>
    <t>普通小城流通用铜币，铸造粗糙，单体价值不高，但可作为地方年代物件存在。</t>
  </si>
  <si>
    <t>盒面残留模糊刻纹与褪色涂层，更多体现旧时日用品审美，而非真正高价藏品。</t>
  </si>
  <si>
    <t>常见的素面陶制饮器，杯口有小缺损，保留明显生活痕迹，属于最基础的旧式器物。</t>
  </si>
  <si>
    <t>金属与彩料已明显老化的小饰件，虽不值钱，但仍比废料多一点样式与年代感。</t>
  </si>
  <si>
    <t>小型石雕残件，局部破损严重，仅能辨出原本为庭院或壁龛装饰的一部分。</t>
  </si>
  <si>
    <t>带有简单穿孔与扣件结构的旧装饰物，可能曾用于衣饰、马具或壁帘边角。</t>
  </si>
  <si>
    <t>一位踏出悬崖边缘的旅人，据说每个拿到它的人都会“走上一条新路”。</t>
  </si>
  <si>
    <t>画中人双手指天引地，有人说它能短暂放大持有者的意志。</t>
  </si>
  <si>
    <t>静坐帷幕之间的神秘女子，这张牌似乎总在“隐藏答案”。</t>
  </si>
  <si>
    <t>丰饶与生命的象征，触碰时偶尔会感到一丝温暖。</t>
  </si>
  <si>
    <t>高坐王座的统治者，这张牌总给人一种“秩序不可违”的压迫感。</t>
  </si>
  <si>
    <t>象征信仰与指引，有人说它会让人“相信某件事”。</t>
  </si>
  <si>
    <t>两人相望的瞬间，被认为会影响持有者的选择。</t>
  </si>
  <si>
    <t>向前冲锋的战车图案，仿佛永远不会停下。</t>
  </si>
  <si>
    <t>少女与野兽的画面，有人说真正的力量并不在表面。</t>
  </si>
  <si>
    <t>提灯独行的老人，这张牌似乎更喜欢“被单独携带”。</t>
  </si>
  <si>
    <t>不停转动的轮盘，没人能确定它下一次停在哪里。</t>
  </si>
  <si>
    <t>手持天平与利剑，仿佛在默默衡量一切行为。</t>
  </si>
  <si>
    <t>倒悬的人影，看久了会产生一种奇怪的平静感。</t>
  </si>
  <si>
    <t>并非终结，而是某种“不可避免的改变”。</t>
  </si>
  <si>
    <t>水流在两器之间流转，似乎暗示着某种平衡正在维持。</t>
  </si>
  <si>
    <t>被束缚的身影，偶尔让人产生不愿放下的感觉。</t>
  </si>
  <si>
    <t>雷电击中高塔的瞬间，这张牌总带着不安气息。</t>
  </si>
  <si>
    <t>星光洒落水面，仿佛在黑暗中指引方向。</t>
  </si>
  <si>
    <t>模糊而诡异的夜景，让人难以分辨真实与幻象。</t>
  </si>
  <si>
    <t>明亮而直接的光辉，总能带来一丝安心感。</t>
  </si>
  <si>
    <t>号角响起的瞬间，仿佛一切都将被重新评判。</t>
  </si>
  <si>
    <t>完整与终结的象征，有人说它意味着“一切已经完成”。</t>
  </si>
  <si>
    <t>红剑</t>
  </si>
  <si>
    <t>武器</t>
  </si>
  <si>
    <t>以锋刃为核心的近战武器，攻守均衡，适配绝大多数近战职业，是最经典的武器类型。</t>
  </si>
  <si>
    <t>红弓</t>
  </si>
  <si>
    <t>以箭矢为媒介的远程武器，射程极远，主打精准打击与持续输出，是远程物理系的核心选择。</t>
  </si>
  <si>
    <t>红长枪</t>
  </si>
  <si>
    <t>以长柄为优势的穿刺类武器，攻击距离长，爆发力强，擅长正面突刺与范围压制。</t>
  </si>
  <si>
    <t>红法杖</t>
  </si>
  <si>
    <t>以魔力为核心的施法武器，大幅提升法术强度与施法效率，是法系职业的专属武器。</t>
  </si>
  <si>
    <t>红法球</t>
  </si>
  <si>
    <t>以元素为载体的施法武器，可灵活操控元素能量，适配多种法系流派，泛用性极强。</t>
  </si>
  <si>
    <t>红巨斧</t>
  </si>
  <si>
    <t>以重量为优势的重型近战武器，破坏力拉满，主打高爆发与破甲，是狂战士的标志性武器。</t>
  </si>
  <si>
    <t>简易指南针</t>
  </si>
  <si>
    <t>红双刀</t>
  </si>
  <si>
    <t>以攻速为核心的双持近战武器，攻速极快，连招灵活，擅长持续输出与灵活突进。</t>
  </si>
  <si>
    <t>金剑</t>
  </si>
  <si>
    <t>金弓</t>
  </si>
  <si>
    <t>小熊玩偶</t>
  </si>
  <si>
    <t>金长枪</t>
  </si>
  <si>
    <t>铜杯</t>
  </si>
  <si>
    <t>金法杖</t>
  </si>
  <si>
    <t>金属油灯</t>
  </si>
  <si>
    <t>金法球</t>
  </si>
  <si>
    <t>羽毛笔</t>
  </si>
  <si>
    <t>金巨斧</t>
  </si>
  <si>
    <t>金双刀</t>
  </si>
  <si>
    <t>紫剑</t>
  </si>
  <si>
    <t>紫弓</t>
  </si>
  <si>
    <t>紫长枪</t>
  </si>
  <si>
    <t>紫法杖</t>
  </si>
  <si>
    <t>紫法球</t>
  </si>
  <si>
    <t>紫巨斧</t>
  </si>
  <si>
    <t>紫双刀</t>
  </si>
  <si>
    <t>蓝剑</t>
  </si>
  <si>
    <t>蓝弓</t>
  </si>
  <si>
    <t>蓝长枪</t>
  </si>
  <si>
    <t>蓝法杖</t>
  </si>
  <si>
    <t>蓝法球</t>
  </si>
  <si>
    <t>银杯</t>
  </si>
  <si>
    <t>蓝巨斧</t>
  </si>
  <si>
    <t>蓝双刀</t>
  </si>
  <si>
    <t>绿剑</t>
  </si>
  <si>
    <t>绿弓</t>
  </si>
  <si>
    <t>绿长枪</t>
  </si>
  <si>
    <t>绿法杖</t>
  </si>
  <si>
    <t>绿法球</t>
  </si>
  <si>
    <t>绿巨斧</t>
  </si>
  <si>
    <t>绿双刀</t>
  </si>
  <si>
    <t>白剑</t>
  </si>
  <si>
    <t>金杯</t>
  </si>
  <si>
    <t>白弓</t>
  </si>
  <si>
    <t>白长枪</t>
  </si>
  <si>
    <t>白法杖</t>
  </si>
  <si>
    <t>白法球</t>
  </si>
  <si>
    <t>白巨斧</t>
  </si>
  <si>
    <t>白双刀</t>
  </si>
  <si>
    <t>高级护盾药剂</t>
  </si>
  <si>
    <t>药品</t>
  </si>
  <si>
    <t>虹蓝色的顶级药剂，形成的防护屏障近乎不灭，持续时间超长。</t>
  </si>
  <si>
    <t>高级移速药剂</t>
  </si>
  <si>
    <t>虹绿色的顶级药剂，赋予风之神速，身体灵动性达到极致。</t>
  </si>
  <si>
    <t>高级增伤药剂</t>
  </si>
  <si>
    <t>虹红色的顶级药剂，彻底解放身体潜能，攻击力达到巅峰。</t>
  </si>
  <si>
    <t>高级减伤药剂</t>
  </si>
  <si>
    <t>虹灰色的顶级药剂，赋予大地之躯，所受伤害降至最低。</t>
  </si>
  <si>
    <t>高级视野药剂</t>
  </si>
  <si>
    <t>虹黄色的顶级药剂，赋予全知之眼，视野与感知力达到巅峰。</t>
  </si>
  <si>
    <t>高级持续回血药剂</t>
  </si>
  <si>
    <t>高级瞬时回血药剂</t>
  </si>
  <si>
    <t>史诗护盾药剂</t>
  </si>
  <si>
    <t>幽蓝色的稀有药剂，形成的防护屏障坚不可摧，持续时间极长。</t>
  </si>
  <si>
    <t>史诗移速药剂</t>
  </si>
  <si>
    <t>碧绿色的稀有药剂，赋予身体风之灵动，奔跑速度极致提升。</t>
  </si>
  <si>
    <t>史诗增伤药剂</t>
  </si>
  <si>
    <t>血红色的稀有药剂，彻底激发身体潜能，攻击力极致跃升。</t>
  </si>
  <si>
    <t>史诗减伤药剂</t>
  </si>
  <si>
    <t>暗灰色的稀有药剂，赋予身体大地抗性，所受伤害极致降低。</t>
  </si>
  <si>
    <t>史诗视野药剂</t>
  </si>
  <si>
    <t>橙黄色的稀有药剂，赋予洞察之眼，视野范围与感知力拉满。</t>
  </si>
  <si>
    <t>史诗持续回血药剂</t>
  </si>
  <si>
    <t>史诗瞬时回血药剂</t>
  </si>
  <si>
    <t>英雄护盾药剂</t>
  </si>
  <si>
    <t>冰蓝色的高阶药剂，可形成坚固的防护屏障，持续时间大幅延长。</t>
  </si>
  <si>
    <t>英雄移速药剂</t>
  </si>
  <si>
    <t>翠绿色的高阶药剂，极致提升身体灵动性，奔跑速度大幅跃升。</t>
  </si>
  <si>
    <t>英雄增伤药剂</t>
  </si>
  <si>
    <t>赤红色的高阶药剂，极致激发身体潜能，攻击力大幅跃升。</t>
  </si>
  <si>
    <t>英雄减伤药剂</t>
  </si>
  <si>
    <t>炭灰色的高阶药剂，极致强化身体抗性，所受伤害大幅降低。</t>
  </si>
  <si>
    <t>英雄视野药剂</t>
  </si>
  <si>
    <t>金黄色的高阶药剂，极致拓宽视野范围，环境感知力极致提升。</t>
  </si>
  <si>
    <t>英雄持续回血药剂</t>
  </si>
  <si>
    <t>英雄瞬时回血药剂</t>
  </si>
  <si>
    <t>稀有护盾药剂</t>
  </si>
  <si>
    <t>深蓝色的进阶药剂，形成的防护屏障更厚实，持续时间更长。</t>
  </si>
  <si>
    <t>稀有移速药剂</t>
  </si>
  <si>
    <t>深绿色的进阶药剂，大幅提升身体灵动性，奔跑速度显著提升。</t>
  </si>
  <si>
    <t>稀有增伤药剂</t>
  </si>
  <si>
    <t>深红色的进阶药剂，深度激发身体潜能，攻击力大幅提升。</t>
  </si>
  <si>
    <t>稀有减伤药剂</t>
  </si>
  <si>
    <t>深灰色的进阶药剂，大幅强化身体抗性，所受伤害显著降低。</t>
  </si>
  <si>
    <t>稀有视野药剂</t>
  </si>
  <si>
    <t>深黄色的进阶药剂，大幅拓宽视野范围，环境感知力大幅增强。</t>
  </si>
  <si>
    <t>村庄地图</t>
  </si>
  <si>
    <t>稀有持续回血药剂</t>
  </si>
  <si>
    <t>稀有瞬时回血药剂</t>
  </si>
  <si>
    <t>普通护盾药剂</t>
  </si>
  <si>
    <t>淡蓝色的基础药剂，可短暂形成一层薄弱的防护屏障。</t>
  </si>
  <si>
    <t>普通移速药剂</t>
  </si>
  <si>
    <t>淡绿色的基础药剂，能小幅提升身体的灵动性与奔跑速度。</t>
  </si>
  <si>
    <t>普通增伤药剂</t>
  </si>
  <si>
    <t>淡红色的基础药剂，可短暂激发身体潜能，小幅提升攻击力。</t>
  </si>
  <si>
    <t>普通减伤药剂</t>
  </si>
  <si>
    <t>淡灰色的基础药剂，能强化身体抗性，小幅降低所受伤害。</t>
  </si>
  <si>
    <t>普通视野药剂</t>
  </si>
  <si>
    <t>淡黄色的基础药剂，可短暂拓宽视野范围，提升环境感知力。</t>
  </si>
  <si>
    <t>普通持续回血药剂</t>
  </si>
  <si>
    <t>普通瞬时回血药剂</t>
  </si>
  <si>
    <t>高级武器维修道具</t>
  </si>
  <si>
    <t>维修道具</t>
  </si>
  <si>
    <t>高级防具维修道具</t>
  </si>
  <si>
    <t>史诗武器维修道具</t>
  </si>
  <si>
    <t>史诗防具维修道具</t>
  </si>
  <si>
    <t>英雄武器维修道具</t>
  </si>
  <si>
    <t>英雄防具维修道具</t>
  </si>
  <si>
    <t>背包</t>
  </si>
  <si>
    <t>1级背包1</t>
  </si>
  <si>
    <t>1级背包2</t>
  </si>
  <si>
    <t>2级背包1</t>
  </si>
  <si>
    <t>2级背包2</t>
  </si>
  <si>
    <t>3级背包1</t>
  </si>
  <si>
    <t>3级背包2</t>
  </si>
  <si>
    <t>3级背包3</t>
  </si>
  <si>
    <t>4级背包1</t>
  </si>
  <si>
    <t>4级背包2</t>
  </si>
  <si>
    <t>4级背包3</t>
  </si>
  <si>
    <t>5级背包1</t>
  </si>
  <si>
    <t>5级背包2</t>
  </si>
  <si>
    <t>5级背包3</t>
  </si>
  <si>
    <t>6级背包1</t>
  </si>
  <si>
    <t>6级背包2</t>
  </si>
  <si>
    <t>1级快捷背包1</t>
  </si>
  <si>
    <t>1级快捷背包2</t>
  </si>
  <si>
    <t>测试武器核心</t>
  </si>
  <si>
    <t>2级快捷背包1</t>
  </si>
  <si>
    <t>镐子</t>
  </si>
  <si>
    <t>2级快捷背包2</t>
  </si>
  <si>
    <t>3级快捷背包1</t>
  </si>
  <si>
    <t>3级快捷背包2</t>
  </si>
  <si>
    <t>4级快捷背包1</t>
  </si>
  <si>
    <t>4级快捷背包2</t>
  </si>
  <si>
    <t>4级快捷背包3</t>
  </si>
  <si>
    <t>5级快捷背包2</t>
  </si>
  <si>
    <t>默认钥匙背包</t>
  </si>
  <si>
    <t>1级钥匙背包</t>
  </si>
  <si>
    <t>2级钥匙背包</t>
  </si>
  <si>
    <t>3级钥匙背包</t>
  </si>
  <si>
    <t>默认安全箱</t>
  </si>
  <si>
    <t>1级安全箱</t>
  </si>
  <si>
    <t>2级安全箱</t>
  </si>
  <si>
    <t>3级安全箱</t>
  </si>
  <si>
    <t>山丘之王重靴</t>
  </si>
  <si>
    <t>防具</t>
  </si>
  <si>
    <t>无尽怒火战靴</t>
  </si>
  <si>
    <t>弑君者足具</t>
  </si>
  <si>
    <t>磐石之足</t>
  </si>
  <si>
    <t>无畏勇士战靴</t>
  </si>
  <si>
    <t>夜幕隐者皮靴</t>
  </si>
  <si>
    <t>守卫重靴</t>
  </si>
  <si>
    <t>角斗士战靴</t>
  </si>
  <si>
    <t>追猎者皮靴</t>
  </si>
  <si>
    <t>英雄鞋子1</t>
  </si>
  <si>
    <t>英雄鞋子2</t>
  </si>
  <si>
    <t>英雄鞋子3</t>
  </si>
  <si>
    <t>稀有鞋子1</t>
  </si>
  <si>
    <t>稀有鞋子2</t>
  </si>
  <si>
    <t>稀有鞋子3</t>
  </si>
  <si>
    <t>普通鞋子1</t>
  </si>
  <si>
    <t>普通鞋子2</t>
  </si>
  <si>
    <t>普通鞋子3</t>
  </si>
  <si>
    <t>山丘之王甲胄</t>
  </si>
  <si>
    <t>无尽怒火战甲</t>
  </si>
  <si>
    <t>弑君者斗篷</t>
  </si>
  <si>
    <t>磐石之躯</t>
  </si>
  <si>
    <t>无畏勇士战甲</t>
  </si>
  <si>
    <t>夜幕隐者斗篷</t>
  </si>
  <si>
    <t>守卫重甲</t>
  </si>
  <si>
    <t>角斗士护胸</t>
  </si>
  <si>
    <t>追猎者皮甲</t>
  </si>
  <si>
    <t>麻布头巾</t>
  </si>
  <si>
    <t>英雄护甲1</t>
  </si>
  <si>
    <t>牛角皮盔</t>
  </si>
  <si>
    <t>英雄护甲2</t>
  </si>
  <si>
    <t>精铁头盔</t>
  </si>
  <si>
    <t>英雄护甲3</t>
  </si>
  <si>
    <t>守卫重盔</t>
  </si>
  <si>
    <t>稀有护甲1</t>
  </si>
  <si>
    <t>角斗士战盔</t>
  </si>
  <si>
    <t>稀有护甲2</t>
  </si>
  <si>
    <t>追猎者羽饰</t>
  </si>
  <si>
    <t>稀有护甲3</t>
  </si>
  <si>
    <t>磐石之首</t>
  </si>
  <si>
    <t>普通护甲1</t>
  </si>
  <si>
    <t>无畏勇士战盔</t>
  </si>
  <si>
    <t>普通护甲2</t>
  </si>
  <si>
    <t>夜幕隐者兜帽</t>
  </si>
  <si>
    <t>普通护甲3</t>
  </si>
  <si>
    <t>山丘之王重盔</t>
  </si>
  <si>
    <t>无尽怒火战盔</t>
  </si>
  <si>
    <t>弑君者兜帽</t>
  </si>
  <si>
    <t>简易布甲</t>
  </si>
  <si>
    <t>硬皮甲</t>
  </si>
  <si>
    <t>铁质锁甲</t>
  </si>
  <si>
    <t>英雄头盔1</t>
  </si>
  <si>
    <t>英雄头盔2</t>
  </si>
  <si>
    <t>英雄头盔3</t>
  </si>
  <si>
    <t>稀有头盔1</t>
  </si>
  <si>
    <t>稀有头盔2</t>
  </si>
  <si>
    <t>稀有头盔3</t>
  </si>
  <si>
    <t>破旧布靴</t>
  </si>
  <si>
    <t>普通头盔1</t>
  </si>
  <si>
    <t>轻便皮靴</t>
  </si>
  <si>
    <t>普通头盔2</t>
  </si>
  <si>
    <t>铁甲战靴</t>
  </si>
  <si>
    <t>普通头盔3</t>
  </si>
  <si>
    <t>传说剑普攻专属</t>
  </si>
  <si>
    <t>魔纹</t>
  </si>
  <si>
    <t>传说弓普攻专属</t>
  </si>
  <si>
    <t>传说长枪普攻专属</t>
  </si>
  <si>
    <t>传说法杖普攻专属</t>
  </si>
  <si>
    <t>传说法球普攻专属</t>
  </si>
  <si>
    <t>传说巨斧普攻专属</t>
  </si>
  <si>
    <t>传说双刀普攻专属</t>
  </si>
  <si>
    <t>传说剑技能专属</t>
  </si>
  <si>
    <t>传说弓技能专属</t>
  </si>
  <si>
    <t>雷神</t>
  </si>
  <si>
    <t>传说长枪技能专属</t>
  </si>
  <si>
    <t>雪女</t>
  </si>
  <si>
    <t>传说法杖技能专属</t>
  </si>
  <si>
    <t>圣光骑士</t>
  </si>
  <si>
    <t>传说法球技能专属</t>
  </si>
  <si>
    <t>鬼手</t>
  </si>
  <si>
    <t>传说巨斧技能专属</t>
  </si>
  <si>
    <t>作弊剑</t>
  </si>
  <si>
    <t>传说双刀技能专属</t>
  </si>
  <si>
    <t>作弊斧</t>
  </si>
  <si>
    <t>传说冷却缩减%</t>
  </si>
  <si>
    <t>作弊长枪</t>
  </si>
  <si>
    <t>传说移速%</t>
  </si>
  <si>
    <t>作弊双刀</t>
  </si>
  <si>
    <t>传说穿透%</t>
  </si>
  <si>
    <t>作弊法杖</t>
  </si>
  <si>
    <t>传说破甲%</t>
  </si>
  <si>
    <t>作弊法球</t>
  </si>
  <si>
    <t>传说攻击%</t>
  </si>
  <si>
    <t>作弊弓</t>
  </si>
  <si>
    <t>传说吸血%</t>
  </si>
  <si>
    <t>作弊头盔</t>
  </si>
  <si>
    <t>传说吸血抑制%</t>
  </si>
  <si>
    <t>作弊铠甲</t>
  </si>
  <si>
    <t>传说攻速%</t>
  </si>
  <si>
    <t>作弊靴子</t>
  </si>
  <si>
    <t>传说增伤%</t>
  </si>
  <si>
    <t>杂鱼剑</t>
  </si>
  <si>
    <t>传说普攻增伤</t>
  </si>
  <si>
    <t>杂鱼斧</t>
  </si>
  <si>
    <t>传说技能增伤</t>
  </si>
  <si>
    <t>杂鱼长枪</t>
  </si>
  <si>
    <t>传说对玩家增伤%</t>
  </si>
  <si>
    <t>杂鱼双刀</t>
  </si>
  <si>
    <t>传说对怪物增伤%</t>
  </si>
  <si>
    <t>杂鱼法杖</t>
  </si>
  <si>
    <t>传说减伤%</t>
  </si>
  <si>
    <t>杂鱼法球</t>
  </si>
  <si>
    <t>传说暴击%</t>
  </si>
  <si>
    <t>杂鱼弓</t>
  </si>
  <si>
    <t>传说暴伤%</t>
  </si>
  <si>
    <t>施法速率</t>
  </si>
  <si>
    <t>传说耐久损耗降低%</t>
  </si>
  <si>
    <t>冷却速度</t>
  </si>
  <si>
    <t>传说维修效率提升%</t>
  </si>
  <si>
    <t>药物恢复加成</t>
  </si>
  <si>
    <t>高级剑普攻专属</t>
  </si>
  <si>
    <t>使用药物速度</t>
  </si>
  <si>
    <t>高级弓普攻专属</t>
  </si>
  <si>
    <t>受控抗性</t>
  </si>
  <si>
    <t>高级长枪普攻专属</t>
  </si>
  <si>
    <t>伤害增加</t>
  </si>
  <si>
    <t>高级法杖普攻专属</t>
  </si>
  <si>
    <t>伤害减免</t>
  </si>
  <si>
    <t>高级法球普攻专属</t>
  </si>
  <si>
    <t>武器普攻增伤</t>
  </si>
  <si>
    <t>高级巨斧普攻专属</t>
  </si>
  <si>
    <t>武器技能增伤</t>
  </si>
  <si>
    <t>高级双刀普攻专属</t>
  </si>
  <si>
    <t>开门速度</t>
  </si>
  <si>
    <t>高级剑技能专属</t>
  </si>
  <si>
    <t>搜索速度</t>
  </si>
  <si>
    <t>高级弓技能专属</t>
  </si>
  <si>
    <t>倒地移动速度</t>
  </si>
  <si>
    <t>高级长枪技能专属</t>
  </si>
  <si>
    <t>救援速度</t>
  </si>
  <si>
    <t>高级法杖技能专属</t>
  </si>
  <si>
    <t>治疗加成</t>
  </si>
  <si>
    <t>高级法球技能专属</t>
  </si>
  <si>
    <t>受疗加成</t>
  </si>
  <si>
    <t>高级巨斧技能专属</t>
  </si>
  <si>
    <t>无视防御</t>
  </si>
  <si>
    <t>高级双刀技能专属</t>
  </si>
  <si>
    <t>破防率</t>
  </si>
  <si>
    <t>高级冷却缩减%</t>
  </si>
  <si>
    <t>吸血率</t>
  </si>
  <si>
    <t>高级移速%</t>
  </si>
  <si>
    <t>视野范围</t>
  </si>
  <si>
    <t>高级穿透%</t>
  </si>
  <si>
    <t>濒死血量上限</t>
  </si>
  <si>
    <t>高级破甲%</t>
  </si>
  <si>
    <t>技能强度</t>
  </si>
  <si>
    <t>高级攻击%</t>
  </si>
  <si>
    <t>负施法速率</t>
  </si>
  <si>
    <t>高级吸血%</t>
  </si>
  <si>
    <t>攻击速率</t>
  </si>
  <si>
    <t>高级吸血抑制%</t>
  </si>
  <si>
    <t>负攻击速率</t>
  </si>
  <si>
    <t>高级攻速%</t>
  </si>
  <si>
    <t>施法速度</t>
  </si>
  <si>
    <t>高级增伤%</t>
  </si>
  <si>
    <t>负施法速度</t>
  </si>
  <si>
    <t>高级普攻增伤</t>
  </si>
  <si>
    <t>攻击速度</t>
  </si>
  <si>
    <t>高级技能增伤</t>
  </si>
  <si>
    <t>负攻击速度</t>
  </si>
  <si>
    <t>高级对玩家增伤%</t>
  </si>
  <si>
    <t>高级对怪物增伤%</t>
  </si>
  <si>
    <t>高级减伤%</t>
  </si>
  <si>
    <t>高级暴击%</t>
  </si>
  <si>
    <t>高级暴伤%</t>
  </si>
  <si>
    <t>高级耐久损耗降低%</t>
  </si>
  <si>
    <t>高级维修效率提升%</t>
  </si>
  <si>
    <t>史诗剑普攻专属</t>
  </si>
  <si>
    <t>史诗弓普攻专属</t>
  </si>
  <si>
    <t>史诗长枪普攻专属</t>
  </si>
  <si>
    <t>史诗法杖普攻专属</t>
  </si>
  <si>
    <t>史诗法球普攻专属</t>
  </si>
  <si>
    <t>史诗巨斧普攻专属</t>
  </si>
  <si>
    <t>史诗双刀普攻专属</t>
  </si>
  <si>
    <t>史诗剑技能专属</t>
  </si>
  <si>
    <t>史诗弓技能专属</t>
  </si>
  <si>
    <t>史诗长枪技能专属</t>
  </si>
  <si>
    <t>史诗法杖技能专属</t>
  </si>
  <si>
    <t>史诗法球技能专属</t>
  </si>
  <si>
    <t>史诗巨斧技能专属</t>
  </si>
  <si>
    <t>史诗双刀技能专属</t>
  </si>
  <si>
    <t>史诗冷却缩减%</t>
  </si>
  <si>
    <t>史诗移速%</t>
  </si>
  <si>
    <t>史诗穿透%</t>
  </si>
  <si>
    <t>史诗破甲%</t>
  </si>
  <si>
    <t>史诗攻击%</t>
  </si>
  <si>
    <t>史诗吸血%</t>
  </si>
  <si>
    <t>史诗吸血抑制%</t>
  </si>
  <si>
    <t>史诗攻速%</t>
  </si>
  <si>
    <t>史诗增伤%</t>
  </si>
  <si>
    <t>史诗普攻增伤</t>
  </si>
  <si>
    <t>史诗技能增伤</t>
  </si>
  <si>
    <t>史诗对玩家增伤%</t>
  </si>
  <si>
    <t>史诗对怪物增伤%</t>
  </si>
  <si>
    <t>史诗减伤%</t>
  </si>
  <si>
    <t>史诗暴击%</t>
  </si>
  <si>
    <t>史诗暴伤%</t>
  </si>
  <si>
    <t>史诗耐久损耗降低%</t>
  </si>
  <si>
    <t>史诗维修效率提升%</t>
  </si>
  <si>
    <t>英雄冷却缩减%</t>
  </si>
  <si>
    <t>英雄移速%</t>
  </si>
  <si>
    <t>英雄穿透%</t>
  </si>
  <si>
    <t>英雄破甲%</t>
  </si>
  <si>
    <t>英雄攻击%</t>
  </si>
  <si>
    <t>英雄吸血%</t>
  </si>
  <si>
    <t>英雄吸血抑制%</t>
  </si>
  <si>
    <t>英雄攻速%</t>
  </si>
  <si>
    <t>英雄增伤%</t>
  </si>
  <si>
    <t>英雄普攻增伤</t>
  </si>
  <si>
    <t>英雄技能增伤</t>
  </si>
  <si>
    <t>英雄对玩家增伤%</t>
  </si>
  <si>
    <t>英雄对怪物增伤%</t>
  </si>
  <si>
    <t>英雄减伤%</t>
  </si>
  <si>
    <t>英雄暴击%</t>
  </si>
  <si>
    <t>英雄暴伤%</t>
  </si>
  <si>
    <t>英雄耐久损耗降低%</t>
  </si>
  <si>
    <t>英雄维修效率提升%</t>
  </si>
  <si>
    <t>稀有冷却缩减%</t>
  </si>
  <si>
    <t>稀有移速%</t>
  </si>
  <si>
    <t>稀有穿透%</t>
  </si>
  <si>
    <t>稀有破甲%</t>
  </si>
  <si>
    <t>稀有攻击%</t>
  </si>
  <si>
    <t>稀有吸血%</t>
  </si>
  <si>
    <t>稀有吸血抑制%</t>
  </si>
  <si>
    <t>稀有攻速%</t>
  </si>
  <si>
    <t>稀有增伤%</t>
  </si>
  <si>
    <t>稀有普攻增伤</t>
  </si>
  <si>
    <t>稀有技能增伤</t>
  </si>
  <si>
    <t>稀有对玩家增伤%</t>
  </si>
  <si>
    <t>稀有对怪物增伤%</t>
  </si>
  <si>
    <t>稀有减伤%</t>
  </si>
  <si>
    <t>稀有暴击%</t>
  </si>
  <si>
    <t>稀有暴伤%</t>
  </si>
  <si>
    <t>稀有耐久损耗降低%</t>
  </si>
  <si>
    <t>稀有维修效率提升%</t>
  </si>
  <si>
    <t>钥匙1</t>
  </si>
  <si>
    <t>钥匙</t>
  </si>
  <si>
    <t>钥匙2</t>
  </si>
  <si>
    <t>钥匙3</t>
  </si>
  <si>
    <t>钥匙4</t>
  </si>
  <si>
    <t>钥匙5</t>
  </si>
  <si>
    <t>钥匙6</t>
  </si>
  <si>
    <t>钥匙7</t>
  </si>
  <si>
    <t>钥匙8</t>
  </si>
  <si>
    <t>钥匙9</t>
  </si>
  <si>
    <t>钥匙10</t>
  </si>
  <si>
    <t>钥匙11</t>
  </si>
  <si>
    <t>钥匙12</t>
  </si>
  <si>
    <t>钥匙13</t>
  </si>
  <si>
    <t>小持续回复药</t>
  </si>
  <si>
    <t>中持续回复药</t>
  </si>
  <si>
    <t>大持续回复药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</si>
</sst>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54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2A2C7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7E3B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1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12" borderId="4">
      <alignment vertical="center"/>
    </xf>
    <xf numFmtId="0" fontId="15" fillId="9" borderId="5">
      <alignment vertical="center"/>
    </xf>
    <xf numFmtId="0" fontId="16" fillId="9" borderId="4">
      <alignment vertical="center"/>
    </xf>
    <xf numFmtId="0" fontId="17" fillId="13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3" fillId="36" borderId="0">
      <alignment vertical="center"/>
    </xf>
    <xf numFmtId="0" fontId="23" fillId="37" borderId="0">
      <alignment vertical="center"/>
    </xf>
    <xf numFmtId="0" fontId="24" fillId="38" borderId="0">
      <alignment vertical="center"/>
    </xf>
    <xf numFmtId="0" fontId="24" fillId="39" borderId="0">
      <alignment vertical="center"/>
    </xf>
    <xf numFmtId="0" fontId="23" fillId="40" borderId="0">
      <alignment vertical="center"/>
    </xf>
  </cellStyleXfs>
  <cellXfs count="45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10" fontId="0" fillId="3" borderId="0" xfId="0" applyNumberFormat="1" applyFill="1" applyAlignment="1">
      <alignment horizontal="center"/>
    </xf>
    <xf numFmtId="10" fontId="0" fillId="3" borderId="0" xfId="0" applyNumberFormat="1" applyFill="1" applyAlignment="1">
      <alignment horizontal="center" vertical="center"/>
    </xf>
    <xf numFmtId="0" fontId="0" fillId="0" borderId="0" xfId="0" applyAlignment="1"/>
    <xf numFmtId="0" fontId="0" fillId="4" borderId="0" xfId="0" applyFill="1" applyAlignment="1">
      <alignment horizont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>
      <alignment vertic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10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0" borderId="0" xfId="0" applyFont="1" applyAlignment="1"/>
    <xf numFmtId="0" fontId="0" fillId="5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FF0000"/>
      </font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MOBA-&#25628;&#25171;&#25764;\&#25628;&#25171;&#25764;&#20859;&#25104;&#26694;&#2655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人物等级"/>
      <sheetName val="势力任务"/>
      <sheetName val="势力任务优化"/>
      <sheetName val="特勤处升级"/>
      <sheetName val="特勤处制造"/>
      <sheetName val="物品容器"/>
      <sheetName val="物品掉落规划"/>
      <sheetName val="物品掉落组"/>
      <sheetName val="容器分布"/>
      <sheetName val="物品概率及单局总产出"/>
      <sheetName val="物品"/>
      <sheetName val="旧物品"/>
      <sheetName val="势力商店"/>
      <sheetName val="交易行"/>
      <sheetName val="交易行-远古龙心"/>
      <sheetName val="交易行-韧化藤蔓丝"/>
      <sheetName val="魔纹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>
        <row r="3">
          <cell r="T3" t="str">
            <v>白</v>
          </cell>
          <cell r="U3">
            <v>1000</v>
          </cell>
        </row>
        <row r="4">
          <cell r="T4" t="str">
            <v>绿</v>
          </cell>
          <cell r="U4">
            <v>3000</v>
          </cell>
        </row>
        <row r="5">
          <cell r="T5" t="str">
            <v>蓝</v>
          </cell>
          <cell r="U5">
            <v>10000</v>
          </cell>
        </row>
        <row r="6">
          <cell r="T6" t="str">
            <v>紫</v>
          </cell>
          <cell r="U6">
            <v>30000</v>
          </cell>
        </row>
        <row r="7">
          <cell r="T7" t="str">
            <v>金</v>
          </cell>
          <cell r="U7">
            <v>100000</v>
          </cell>
        </row>
        <row r="8">
          <cell r="T8" t="str">
            <v>红</v>
          </cell>
          <cell r="U8">
            <v>300000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ID</v>
          </cell>
          <cell r="B1" t="str">
            <v>名称</v>
          </cell>
        </row>
        <row r="1">
          <cell r="D1" t="str">
            <v>hatch大类</v>
          </cell>
          <cell r="E1" t="str">
            <v>类型</v>
          </cell>
          <cell r="F1" t="str">
            <v>子类型</v>
          </cell>
          <cell r="G1" t="str">
            <v>宽</v>
          </cell>
          <cell r="H1" t="str">
            <v>高</v>
          </cell>
        </row>
        <row r="2">
          <cell r="A2" t="str">
            <v>id:number</v>
          </cell>
          <cell r="B2" t="str">
            <v>name:string</v>
          </cell>
        </row>
        <row r="2">
          <cell r="D2" t="str">
            <v>type:number</v>
          </cell>
          <cell r="E2" t="str">
            <v>sType:number</v>
          </cell>
          <cell r="F2" t="str">
            <v>thirdType:number</v>
          </cell>
          <cell r="G2" t="str">
            <v>width:number</v>
          </cell>
          <cell r="H2" t="str">
            <v>height:number</v>
          </cell>
        </row>
        <row r="3">
          <cell r="A3">
            <v>-1</v>
          </cell>
        </row>
        <row r="4">
          <cell r="A4">
            <v>1</v>
          </cell>
          <cell r="B4" t="str">
            <v>钻石</v>
          </cell>
        </row>
        <row r="4">
          <cell r="D4">
            <v>0</v>
          </cell>
          <cell r="E4">
            <v>71</v>
          </cell>
        </row>
        <row r="5">
          <cell r="A5">
            <v>2</v>
          </cell>
          <cell r="B5" t="str">
            <v>经验</v>
          </cell>
        </row>
        <row r="5">
          <cell r="D5">
            <v>0</v>
          </cell>
          <cell r="E5">
            <v>71</v>
          </cell>
        </row>
        <row r="6">
          <cell r="A6">
            <v>3</v>
          </cell>
          <cell r="B6" t="str">
            <v>VIP经验</v>
          </cell>
        </row>
        <row r="6">
          <cell r="D6">
            <v>0</v>
          </cell>
          <cell r="E6">
            <v>71</v>
          </cell>
        </row>
        <row r="7">
          <cell r="A7">
            <v>10</v>
          </cell>
          <cell r="B7" t="str">
            <v>钻石(弃用)</v>
          </cell>
        </row>
        <row r="7">
          <cell r="D7">
            <v>0</v>
          </cell>
          <cell r="E7">
            <v>71</v>
          </cell>
        </row>
        <row r="8">
          <cell r="A8">
            <v>11</v>
          </cell>
          <cell r="B8" t="str">
            <v>金币</v>
          </cell>
        </row>
        <row r="8">
          <cell r="D8">
            <v>0</v>
          </cell>
          <cell r="E8">
            <v>71</v>
          </cell>
        </row>
        <row r="9">
          <cell r="A9">
            <v>201</v>
          </cell>
          <cell r="B9" t="str">
            <v>改名卡</v>
          </cell>
        </row>
        <row r="9">
          <cell r="D9">
            <v>0</v>
          </cell>
          <cell r="E9">
            <v>72</v>
          </cell>
        </row>
        <row r="10">
          <cell r="A10">
            <v>1001</v>
          </cell>
          <cell r="B10" t="str">
            <v>新手战备令</v>
          </cell>
        </row>
        <row r="10">
          <cell r="D10">
            <v>2</v>
          </cell>
          <cell r="E10">
            <v>73</v>
          </cell>
        </row>
        <row r="11">
          <cell r="A11">
            <v>1002</v>
          </cell>
          <cell r="B11" t="str">
            <v>标准战备令</v>
          </cell>
        </row>
        <row r="11">
          <cell r="D11">
            <v>2</v>
          </cell>
          <cell r="E11">
            <v>73</v>
          </cell>
        </row>
        <row r="12">
          <cell r="A12">
            <v>1003</v>
          </cell>
          <cell r="B12" t="str">
            <v>精英战备令</v>
          </cell>
        </row>
        <row r="12">
          <cell r="D12">
            <v>2</v>
          </cell>
          <cell r="E12">
            <v>73</v>
          </cell>
        </row>
        <row r="13">
          <cell r="A13">
            <v>100100</v>
          </cell>
          <cell r="B13" t="str">
            <v>卫队长</v>
          </cell>
        </row>
        <row r="13">
          <cell r="D13">
            <v>2</v>
          </cell>
          <cell r="E13">
            <v>70</v>
          </cell>
        </row>
        <row r="14">
          <cell r="A14">
            <v>100200</v>
          </cell>
          <cell r="B14" t="str">
            <v>暗夜女王</v>
          </cell>
        </row>
        <row r="14">
          <cell r="D14">
            <v>2</v>
          </cell>
          <cell r="E14">
            <v>70</v>
          </cell>
        </row>
        <row r="15">
          <cell r="A15">
            <v>100300</v>
          </cell>
          <cell r="B15" t="str">
            <v>海潮祭司</v>
          </cell>
        </row>
        <row r="15">
          <cell r="D15">
            <v>2</v>
          </cell>
          <cell r="E15">
            <v>70</v>
          </cell>
        </row>
        <row r="16">
          <cell r="A16">
            <v>100400</v>
          </cell>
          <cell r="B16" t="str">
            <v>蝶女</v>
          </cell>
        </row>
        <row r="16">
          <cell r="D16">
            <v>2</v>
          </cell>
          <cell r="E16">
            <v>70</v>
          </cell>
        </row>
        <row r="17">
          <cell r="A17">
            <v>100500</v>
          </cell>
          <cell r="B17" t="str">
            <v>虫母</v>
          </cell>
        </row>
        <row r="17">
          <cell r="D17">
            <v>2</v>
          </cell>
          <cell r="E17">
            <v>70</v>
          </cell>
        </row>
        <row r="18">
          <cell r="A18">
            <v>100600</v>
          </cell>
          <cell r="B18" t="str">
            <v>海潮祭司</v>
          </cell>
        </row>
        <row r="18">
          <cell r="D18">
            <v>2</v>
          </cell>
          <cell r="E18">
            <v>70</v>
          </cell>
        </row>
        <row r="19">
          <cell r="A19">
            <v>100700</v>
          </cell>
          <cell r="B19" t="str">
            <v>雷霆使者</v>
          </cell>
        </row>
        <row r="19">
          <cell r="D19">
            <v>2</v>
          </cell>
          <cell r="E19">
            <v>70</v>
          </cell>
        </row>
        <row r="20">
          <cell r="A20">
            <v>100800</v>
          </cell>
          <cell r="B20" t="str">
            <v>野蛮人</v>
          </cell>
        </row>
        <row r="20">
          <cell r="D20">
            <v>2</v>
          </cell>
          <cell r="E20">
            <v>70</v>
          </cell>
        </row>
        <row r="21">
          <cell r="A21">
            <v>100900</v>
          </cell>
          <cell r="B21" t="str">
            <v>缚魂灵师</v>
          </cell>
        </row>
        <row r="21">
          <cell r="D21">
            <v>2</v>
          </cell>
          <cell r="E21">
            <v>70</v>
          </cell>
        </row>
        <row r="22">
          <cell r="A22">
            <v>101000</v>
          </cell>
          <cell r="B22" t="str">
            <v>猎杀者</v>
          </cell>
        </row>
        <row r="22">
          <cell r="D22">
            <v>2</v>
          </cell>
          <cell r="E22">
            <v>70</v>
          </cell>
        </row>
        <row r="23">
          <cell r="A23">
            <v>101100</v>
          </cell>
          <cell r="B23" t="str">
            <v>狼人</v>
          </cell>
        </row>
        <row r="23">
          <cell r="D23">
            <v>2</v>
          </cell>
          <cell r="E23">
            <v>70</v>
          </cell>
        </row>
        <row r="24">
          <cell r="A24">
            <v>101200</v>
          </cell>
          <cell r="B24" t="str">
            <v>鲨鱼</v>
          </cell>
        </row>
        <row r="24">
          <cell r="D24">
            <v>2</v>
          </cell>
          <cell r="E24">
            <v>70</v>
          </cell>
        </row>
        <row r="25">
          <cell r="A25">
            <v>101400</v>
          </cell>
          <cell r="B25" t="str">
            <v>圣光使者</v>
          </cell>
        </row>
        <row r="25">
          <cell r="D25">
            <v>2</v>
          </cell>
          <cell r="E25">
            <v>70</v>
          </cell>
        </row>
        <row r="26">
          <cell r="A26">
            <v>101010001</v>
          </cell>
          <cell r="B26" t="str">
            <v>1级恢复药水</v>
          </cell>
        </row>
        <row r="26">
          <cell r="D26">
            <v>2</v>
          </cell>
          <cell r="E26">
            <v>50</v>
          </cell>
          <cell r="F26">
            <v>1</v>
          </cell>
          <cell r="G26">
            <v>1</v>
          </cell>
          <cell r="H26">
            <v>1</v>
          </cell>
        </row>
        <row r="27">
          <cell r="A27">
            <v>120000000</v>
          </cell>
          <cell r="B27" t="str">
            <v>默认容器存放</v>
          </cell>
        </row>
        <row r="27">
          <cell r="D27">
            <v>2</v>
          </cell>
          <cell r="E27">
            <v>20</v>
          </cell>
        </row>
        <row r="27">
          <cell r="G27">
            <v>0</v>
          </cell>
          <cell r="H27">
            <v>0</v>
          </cell>
        </row>
        <row r="28">
          <cell r="A28">
            <v>120000001</v>
          </cell>
          <cell r="B28" t="str">
            <v>仓库</v>
          </cell>
        </row>
        <row r="28">
          <cell r="D28">
            <v>0</v>
          </cell>
          <cell r="E28">
            <v>20</v>
          </cell>
        </row>
        <row r="29">
          <cell r="A29">
            <v>121000000</v>
          </cell>
          <cell r="B29" t="str">
            <v>默认背包</v>
          </cell>
        </row>
        <row r="29">
          <cell r="D29">
            <v>2</v>
          </cell>
          <cell r="E29">
            <v>21</v>
          </cell>
        </row>
        <row r="29">
          <cell r="G29">
            <v>0</v>
          </cell>
          <cell r="H29">
            <v>0</v>
          </cell>
        </row>
        <row r="30">
          <cell r="A30">
            <v>121000001</v>
          </cell>
          <cell r="B30" t="str">
            <v>1级背包</v>
          </cell>
        </row>
        <row r="30">
          <cell r="D30">
            <v>2</v>
          </cell>
          <cell r="E30">
            <v>21</v>
          </cell>
        </row>
        <row r="30">
          <cell r="G30">
            <v>1</v>
          </cell>
          <cell r="H30">
            <v>2</v>
          </cell>
        </row>
        <row r="31">
          <cell r="A31">
            <v>121000101</v>
          </cell>
          <cell r="B31" t="str">
            <v>2级背包</v>
          </cell>
        </row>
        <row r="31">
          <cell r="D31">
            <v>2</v>
          </cell>
          <cell r="E31">
            <v>21</v>
          </cell>
        </row>
        <row r="31">
          <cell r="G31">
            <v>1</v>
          </cell>
          <cell r="H31">
            <v>2</v>
          </cell>
        </row>
        <row r="32">
          <cell r="A32">
            <v>121000201</v>
          </cell>
          <cell r="B32" t="str">
            <v>3级背包</v>
          </cell>
        </row>
        <row r="32">
          <cell r="D32">
            <v>2</v>
          </cell>
          <cell r="E32">
            <v>21</v>
          </cell>
        </row>
        <row r="32">
          <cell r="G32">
            <v>2</v>
          </cell>
          <cell r="H32">
            <v>2</v>
          </cell>
        </row>
        <row r="33">
          <cell r="A33">
            <v>121000301</v>
          </cell>
          <cell r="B33" t="str">
            <v>4级背包</v>
          </cell>
        </row>
        <row r="33">
          <cell r="D33">
            <v>2</v>
          </cell>
          <cell r="E33">
            <v>21</v>
          </cell>
        </row>
        <row r="33">
          <cell r="G33">
            <v>2</v>
          </cell>
          <cell r="H33">
            <v>2</v>
          </cell>
        </row>
        <row r="34">
          <cell r="A34">
            <v>121000401</v>
          </cell>
          <cell r="B34" t="str">
            <v>5级背包</v>
          </cell>
        </row>
        <row r="34">
          <cell r="D34">
            <v>2</v>
          </cell>
          <cell r="E34">
            <v>21</v>
          </cell>
        </row>
        <row r="34">
          <cell r="G34">
            <v>3</v>
          </cell>
          <cell r="H34">
            <v>3</v>
          </cell>
        </row>
        <row r="35">
          <cell r="A35">
            <v>121000501</v>
          </cell>
          <cell r="B35" t="str">
            <v>6级背包</v>
          </cell>
        </row>
        <row r="35">
          <cell r="D35">
            <v>2</v>
          </cell>
          <cell r="E35">
            <v>21</v>
          </cell>
        </row>
        <row r="35">
          <cell r="G35">
            <v>3</v>
          </cell>
          <cell r="H35">
            <v>3</v>
          </cell>
        </row>
        <row r="36">
          <cell r="A36">
            <v>122000000</v>
          </cell>
          <cell r="B36" t="str">
            <v>默认快捷背包</v>
          </cell>
        </row>
        <row r="36">
          <cell r="D36">
            <v>2</v>
          </cell>
          <cell r="E36">
            <v>22</v>
          </cell>
        </row>
        <row r="37">
          <cell r="A37">
            <v>122000101</v>
          </cell>
          <cell r="B37" t="str">
            <v>1级快捷背包</v>
          </cell>
        </row>
        <row r="37">
          <cell r="D37">
            <v>2</v>
          </cell>
          <cell r="E37">
            <v>22</v>
          </cell>
        </row>
        <row r="37">
          <cell r="G37">
            <v>2</v>
          </cell>
          <cell r="H37">
            <v>1</v>
          </cell>
        </row>
        <row r="38">
          <cell r="A38">
            <v>122000201</v>
          </cell>
          <cell r="B38" t="str">
            <v>2级快捷背包</v>
          </cell>
        </row>
        <row r="38">
          <cell r="D38">
            <v>2</v>
          </cell>
          <cell r="E38">
            <v>22</v>
          </cell>
        </row>
        <row r="38">
          <cell r="G38">
            <v>2</v>
          </cell>
          <cell r="H38">
            <v>1</v>
          </cell>
        </row>
        <row r="39">
          <cell r="A39">
            <v>122000301</v>
          </cell>
          <cell r="B39" t="str">
            <v>3级快捷背包</v>
          </cell>
        </row>
        <row r="39">
          <cell r="D39">
            <v>2</v>
          </cell>
          <cell r="E39">
            <v>22</v>
          </cell>
        </row>
        <row r="39">
          <cell r="G39">
            <v>2</v>
          </cell>
          <cell r="H39">
            <v>1</v>
          </cell>
        </row>
        <row r="40">
          <cell r="A40">
            <v>122000401</v>
          </cell>
          <cell r="B40" t="str">
            <v>4级快捷背包</v>
          </cell>
        </row>
        <row r="40">
          <cell r="D40">
            <v>2</v>
          </cell>
          <cell r="E40">
            <v>22</v>
          </cell>
        </row>
        <row r="40">
          <cell r="G40">
            <v>2</v>
          </cell>
          <cell r="H40">
            <v>1</v>
          </cell>
        </row>
        <row r="41">
          <cell r="A41">
            <v>123000200</v>
          </cell>
          <cell r="B41" t="str">
            <v>1级钥匙包(通用)</v>
          </cell>
        </row>
        <row r="41">
          <cell r="D41">
            <v>2</v>
          </cell>
          <cell r="E41">
            <v>23</v>
          </cell>
        </row>
        <row r="41">
          <cell r="G41">
            <v>1</v>
          </cell>
          <cell r="H41">
            <v>1</v>
          </cell>
        </row>
        <row r="42">
          <cell r="A42">
            <v>123000300</v>
          </cell>
          <cell r="B42" t="str">
            <v>2级钥匙包(通用)</v>
          </cell>
        </row>
        <row r="42">
          <cell r="D42">
            <v>2</v>
          </cell>
          <cell r="E42">
            <v>23</v>
          </cell>
        </row>
        <row r="42">
          <cell r="G42">
            <v>1</v>
          </cell>
          <cell r="H42">
            <v>1</v>
          </cell>
        </row>
        <row r="43">
          <cell r="A43">
            <v>123000400</v>
          </cell>
          <cell r="B43" t="str">
            <v>3级钥匙包(通用)</v>
          </cell>
        </row>
        <row r="43">
          <cell r="D43">
            <v>2</v>
          </cell>
          <cell r="E43">
            <v>23</v>
          </cell>
        </row>
        <row r="43">
          <cell r="G43">
            <v>1</v>
          </cell>
          <cell r="H43">
            <v>1</v>
          </cell>
        </row>
        <row r="44">
          <cell r="A44">
            <v>123000500</v>
          </cell>
          <cell r="B44" t="str">
            <v>4级钥匙包(通用)</v>
          </cell>
        </row>
        <row r="44">
          <cell r="D44">
            <v>2</v>
          </cell>
          <cell r="E44">
            <v>23</v>
          </cell>
        </row>
        <row r="44">
          <cell r="G44">
            <v>1</v>
          </cell>
          <cell r="H44">
            <v>1</v>
          </cell>
        </row>
        <row r="45">
          <cell r="A45">
            <v>124000200</v>
          </cell>
          <cell r="B45" t="str">
            <v>1级保险箱</v>
          </cell>
        </row>
        <row r="45">
          <cell r="D45">
            <v>2</v>
          </cell>
          <cell r="E45">
            <v>24</v>
          </cell>
        </row>
        <row r="45">
          <cell r="G45">
            <v>1</v>
          </cell>
          <cell r="H45">
            <v>1</v>
          </cell>
        </row>
        <row r="46">
          <cell r="A46">
            <v>124000300</v>
          </cell>
          <cell r="B46" t="str">
            <v>2级保险箱</v>
          </cell>
        </row>
        <row r="46">
          <cell r="D46">
            <v>2</v>
          </cell>
          <cell r="E46">
            <v>24</v>
          </cell>
        </row>
        <row r="46">
          <cell r="G46">
            <v>1</v>
          </cell>
          <cell r="H46">
            <v>1</v>
          </cell>
        </row>
        <row r="47">
          <cell r="A47">
            <v>124000400</v>
          </cell>
          <cell r="B47" t="str">
            <v>3级保险箱</v>
          </cell>
        </row>
        <row r="47">
          <cell r="D47">
            <v>2</v>
          </cell>
          <cell r="E47">
            <v>24</v>
          </cell>
        </row>
        <row r="47">
          <cell r="G47">
            <v>1</v>
          </cell>
          <cell r="H47">
            <v>1</v>
          </cell>
        </row>
        <row r="48">
          <cell r="A48">
            <v>124000500</v>
          </cell>
          <cell r="B48" t="str">
            <v>4级保险箱</v>
          </cell>
        </row>
        <row r="48">
          <cell r="D48">
            <v>2</v>
          </cell>
          <cell r="E48">
            <v>24</v>
          </cell>
        </row>
        <row r="48">
          <cell r="G48">
            <v>2</v>
          </cell>
          <cell r="H48">
            <v>1</v>
          </cell>
        </row>
        <row r="49">
          <cell r="A49">
            <v>129000001</v>
          </cell>
          <cell r="B49" t="str">
            <v>角色尸体</v>
          </cell>
        </row>
        <row r="49">
          <cell r="D49">
            <v>2</v>
          </cell>
          <cell r="E49">
            <v>29</v>
          </cell>
          <cell r="F49">
            <v>1</v>
          </cell>
        </row>
        <row r="50">
          <cell r="A50">
            <v>129000002</v>
          </cell>
          <cell r="B50" t="str">
            <v>掉落物</v>
          </cell>
        </row>
        <row r="50">
          <cell r="D50">
            <v>2</v>
          </cell>
          <cell r="E50">
            <v>29</v>
          </cell>
          <cell r="F50">
            <v>2</v>
          </cell>
        </row>
        <row r="51">
          <cell r="A51">
            <v>141010101</v>
          </cell>
          <cell r="B51" t="str">
            <v>I级攻速魔纹</v>
          </cell>
        </row>
        <row r="51">
          <cell r="D51">
            <v>2</v>
          </cell>
          <cell r="E51">
            <v>41</v>
          </cell>
          <cell r="F51">
            <v>1</v>
          </cell>
          <cell r="G51">
            <v>1</v>
          </cell>
          <cell r="H51">
            <v>1</v>
          </cell>
        </row>
        <row r="52">
          <cell r="A52">
            <v>141010201</v>
          </cell>
          <cell r="B52" t="str">
            <v>II级攻速魔纹</v>
          </cell>
        </row>
        <row r="52">
          <cell r="D52">
            <v>2</v>
          </cell>
          <cell r="E52">
            <v>41</v>
          </cell>
          <cell r="F52">
            <v>1</v>
          </cell>
          <cell r="G52">
            <v>1</v>
          </cell>
          <cell r="H52">
            <v>1</v>
          </cell>
        </row>
        <row r="53">
          <cell r="A53">
            <v>141010301</v>
          </cell>
          <cell r="B53" t="str">
            <v>III级攻速魔纹</v>
          </cell>
        </row>
        <row r="53">
          <cell r="D53">
            <v>2</v>
          </cell>
          <cell r="E53">
            <v>41</v>
          </cell>
          <cell r="F53">
            <v>1</v>
          </cell>
          <cell r="G53">
            <v>1</v>
          </cell>
          <cell r="H53">
            <v>1</v>
          </cell>
        </row>
        <row r="54">
          <cell r="A54">
            <v>141010401</v>
          </cell>
          <cell r="B54" t="str">
            <v>IV级攻速魔纹</v>
          </cell>
        </row>
        <row r="54">
          <cell r="D54">
            <v>2</v>
          </cell>
          <cell r="E54">
            <v>41</v>
          </cell>
          <cell r="F54">
            <v>1</v>
          </cell>
          <cell r="G54">
            <v>1</v>
          </cell>
          <cell r="H54">
            <v>1</v>
          </cell>
        </row>
        <row r="55">
          <cell r="A55">
            <v>141010501</v>
          </cell>
          <cell r="B55" t="str">
            <v>V级攻速魔纹</v>
          </cell>
        </row>
        <row r="55">
          <cell r="D55">
            <v>2</v>
          </cell>
          <cell r="E55">
            <v>41</v>
          </cell>
          <cell r="F55">
            <v>1</v>
          </cell>
          <cell r="G55">
            <v>1</v>
          </cell>
          <cell r="H55">
            <v>1</v>
          </cell>
        </row>
        <row r="56">
          <cell r="A56">
            <v>141010601</v>
          </cell>
          <cell r="B56" t="str">
            <v>VI级攻速魔纹</v>
          </cell>
        </row>
        <row r="56">
          <cell r="D56">
            <v>2</v>
          </cell>
          <cell r="E56">
            <v>41</v>
          </cell>
          <cell r="F56">
            <v>1</v>
          </cell>
          <cell r="G56">
            <v>1</v>
          </cell>
          <cell r="H56">
            <v>1</v>
          </cell>
        </row>
        <row r="57">
          <cell r="A57">
            <v>141020101</v>
          </cell>
          <cell r="B57" t="str">
            <v>I级生命魔纹</v>
          </cell>
        </row>
        <row r="57">
          <cell r="D57">
            <v>2</v>
          </cell>
          <cell r="E57">
            <v>41</v>
          </cell>
          <cell r="F57">
            <v>2</v>
          </cell>
          <cell r="G57">
            <v>1</v>
          </cell>
          <cell r="H57">
            <v>1</v>
          </cell>
        </row>
        <row r="58">
          <cell r="A58">
            <v>141020201</v>
          </cell>
          <cell r="B58" t="str">
            <v>II级生命魔纹</v>
          </cell>
        </row>
        <row r="58">
          <cell r="D58">
            <v>2</v>
          </cell>
          <cell r="E58">
            <v>41</v>
          </cell>
          <cell r="F58">
            <v>2</v>
          </cell>
          <cell r="G58">
            <v>1</v>
          </cell>
          <cell r="H58">
            <v>1</v>
          </cell>
        </row>
        <row r="59">
          <cell r="A59">
            <v>141020301</v>
          </cell>
          <cell r="B59" t="str">
            <v>III级生命魔纹</v>
          </cell>
        </row>
        <row r="59">
          <cell r="D59">
            <v>2</v>
          </cell>
          <cell r="E59">
            <v>41</v>
          </cell>
          <cell r="F59">
            <v>2</v>
          </cell>
          <cell r="G59">
            <v>1</v>
          </cell>
          <cell r="H59">
            <v>1</v>
          </cell>
        </row>
        <row r="60">
          <cell r="A60">
            <v>141020401</v>
          </cell>
          <cell r="B60" t="str">
            <v>IV级生命魔纹</v>
          </cell>
        </row>
        <row r="60">
          <cell r="D60">
            <v>2</v>
          </cell>
          <cell r="E60">
            <v>41</v>
          </cell>
          <cell r="F60">
            <v>2</v>
          </cell>
          <cell r="G60">
            <v>1</v>
          </cell>
          <cell r="H60">
            <v>1</v>
          </cell>
        </row>
        <row r="61">
          <cell r="A61">
            <v>141020501</v>
          </cell>
          <cell r="B61" t="str">
            <v>V级生命魔纹</v>
          </cell>
        </row>
        <row r="61">
          <cell r="D61">
            <v>2</v>
          </cell>
          <cell r="E61">
            <v>41</v>
          </cell>
          <cell r="F61">
            <v>2</v>
          </cell>
          <cell r="G61">
            <v>1</v>
          </cell>
          <cell r="H61">
            <v>1</v>
          </cell>
        </row>
        <row r="62">
          <cell r="A62">
            <v>141020601</v>
          </cell>
          <cell r="B62" t="str">
            <v>VI级生命魔纹</v>
          </cell>
        </row>
        <row r="62">
          <cell r="D62">
            <v>2</v>
          </cell>
          <cell r="E62">
            <v>41</v>
          </cell>
          <cell r="F62">
            <v>2</v>
          </cell>
          <cell r="G62">
            <v>1</v>
          </cell>
          <cell r="H62">
            <v>1</v>
          </cell>
        </row>
        <row r="63">
          <cell r="A63">
            <v>150000001</v>
          </cell>
          <cell r="B63" t="str">
            <v>小持续回复药</v>
          </cell>
        </row>
        <row r="63">
          <cell r="D63">
            <v>2</v>
          </cell>
          <cell r="E63">
            <v>50</v>
          </cell>
          <cell r="F63">
            <v>1</v>
          </cell>
          <cell r="G63">
            <v>1</v>
          </cell>
          <cell r="H63">
            <v>1</v>
          </cell>
        </row>
        <row r="64">
          <cell r="A64">
            <v>150000002</v>
          </cell>
          <cell r="B64" t="str">
            <v>中持续回复药</v>
          </cell>
        </row>
        <row r="64">
          <cell r="D64">
            <v>2</v>
          </cell>
          <cell r="E64">
            <v>50</v>
          </cell>
          <cell r="F64">
            <v>1</v>
          </cell>
          <cell r="G64">
            <v>1</v>
          </cell>
          <cell r="H64">
            <v>1</v>
          </cell>
        </row>
        <row r="65">
          <cell r="A65">
            <v>150000003</v>
          </cell>
          <cell r="B65" t="str">
            <v>大持续回复药</v>
          </cell>
        </row>
        <row r="65">
          <cell r="D65">
            <v>2</v>
          </cell>
          <cell r="E65">
            <v>50</v>
          </cell>
          <cell r="F65">
            <v>1</v>
          </cell>
          <cell r="G65">
            <v>1</v>
          </cell>
          <cell r="H65">
            <v>1</v>
          </cell>
        </row>
        <row r="66">
          <cell r="A66">
            <v>151000001</v>
          </cell>
          <cell r="B66" t="str">
            <v>小通用武器维修</v>
          </cell>
        </row>
        <row r="66">
          <cell r="D66">
            <v>2</v>
          </cell>
          <cell r="E66">
            <v>51</v>
          </cell>
          <cell r="F66">
            <v>1</v>
          </cell>
          <cell r="G66">
            <v>1</v>
          </cell>
          <cell r="H66">
            <v>1</v>
          </cell>
        </row>
        <row r="67">
          <cell r="A67">
            <v>151000002</v>
          </cell>
          <cell r="B67" t="str">
            <v>中通用武器维修</v>
          </cell>
        </row>
        <row r="67">
          <cell r="D67">
            <v>2</v>
          </cell>
          <cell r="E67">
            <v>51</v>
          </cell>
          <cell r="F67">
            <v>1</v>
          </cell>
          <cell r="G67">
            <v>1</v>
          </cell>
          <cell r="H67">
            <v>1</v>
          </cell>
        </row>
        <row r="68">
          <cell r="A68">
            <v>151000003</v>
          </cell>
          <cell r="B68" t="str">
            <v>大通用武器维修</v>
          </cell>
        </row>
        <row r="68">
          <cell r="D68">
            <v>2</v>
          </cell>
          <cell r="E68">
            <v>51</v>
          </cell>
          <cell r="F68">
            <v>1</v>
          </cell>
          <cell r="G68">
            <v>1</v>
          </cell>
          <cell r="H68">
            <v>1</v>
          </cell>
        </row>
        <row r="69">
          <cell r="A69">
            <v>152000001</v>
          </cell>
          <cell r="B69" t="str">
            <v>小通用防具维修</v>
          </cell>
        </row>
        <row r="69">
          <cell r="D69">
            <v>2</v>
          </cell>
          <cell r="E69">
            <v>52</v>
          </cell>
          <cell r="F69">
            <v>1</v>
          </cell>
          <cell r="G69">
            <v>1</v>
          </cell>
          <cell r="H69">
            <v>1</v>
          </cell>
        </row>
        <row r="70">
          <cell r="A70">
            <v>152000002</v>
          </cell>
          <cell r="B70" t="str">
            <v>中通用防具维修</v>
          </cell>
        </row>
        <row r="70">
          <cell r="D70">
            <v>2</v>
          </cell>
          <cell r="E70">
            <v>52</v>
          </cell>
          <cell r="F70">
            <v>1</v>
          </cell>
          <cell r="G70">
            <v>1</v>
          </cell>
          <cell r="H70">
            <v>1</v>
          </cell>
        </row>
        <row r="71">
          <cell r="A71">
            <v>152000003</v>
          </cell>
          <cell r="B71" t="str">
            <v>大通用防具维修</v>
          </cell>
        </row>
        <row r="71">
          <cell r="D71">
            <v>2</v>
          </cell>
          <cell r="E71">
            <v>52</v>
          </cell>
          <cell r="F71">
            <v>1</v>
          </cell>
          <cell r="G71">
            <v>1</v>
          </cell>
          <cell r="H71">
            <v>1</v>
          </cell>
        </row>
        <row r="72">
          <cell r="A72">
            <v>153010001</v>
          </cell>
          <cell r="B72" t="str">
            <v>地图1测试钥匙</v>
          </cell>
        </row>
        <row r="72">
          <cell r="D72">
            <v>2</v>
          </cell>
          <cell r="E72">
            <v>53</v>
          </cell>
          <cell r="F72">
            <v>1</v>
          </cell>
          <cell r="G72">
            <v>1</v>
          </cell>
          <cell r="H72">
            <v>1</v>
          </cell>
        </row>
        <row r="73">
          <cell r="A73">
            <v>153020001</v>
          </cell>
          <cell r="B73" t="str">
            <v>地图2测试钥匙</v>
          </cell>
        </row>
        <row r="73">
          <cell r="D73">
            <v>2</v>
          </cell>
          <cell r="E73">
            <v>53</v>
          </cell>
          <cell r="F73">
            <v>2</v>
          </cell>
          <cell r="G73">
            <v>1</v>
          </cell>
          <cell r="H73">
            <v>1</v>
          </cell>
        </row>
        <row r="74">
          <cell r="A74">
            <v>153030001</v>
          </cell>
          <cell r="B74" t="str">
            <v>地图3测试钥匙</v>
          </cell>
        </row>
        <row r="74">
          <cell r="D74">
            <v>2</v>
          </cell>
          <cell r="E74">
            <v>53</v>
          </cell>
          <cell r="F74">
            <v>3</v>
          </cell>
          <cell r="G74">
            <v>1</v>
          </cell>
          <cell r="H74">
            <v>1</v>
          </cell>
        </row>
        <row r="75">
          <cell r="A75">
            <v>160010001</v>
          </cell>
          <cell r="B75" t="str">
            <v>青铜矿</v>
          </cell>
          <cell r="C75" t="str">
            <v>矿物材料</v>
          </cell>
          <cell r="D75">
            <v>2</v>
          </cell>
          <cell r="E75">
            <v>60</v>
          </cell>
          <cell r="F75">
            <v>1</v>
          </cell>
          <cell r="G75">
            <v>1</v>
          </cell>
          <cell r="H75">
            <v>1</v>
          </cell>
        </row>
        <row r="76">
          <cell r="A76">
            <v>160010002</v>
          </cell>
          <cell r="B76" t="str">
            <v>铁矿</v>
          </cell>
          <cell r="C76" t="str">
            <v>矿物材料</v>
          </cell>
          <cell r="D76">
            <v>2</v>
          </cell>
          <cell r="E76">
            <v>60</v>
          </cell>
          <cell r="F76">
            <v>1</v>
          </cell>
          <cell r="G76">
            <v>1</v>
          </cell>
          <cell r="H76">
            <v>1</v>
          </cell>
        </row>
        <row r="77">
          <cell r="A77">
            <v>160010003</v>
          </cell>
          <cell r="B77" t="str">
            <v>高原锰石</v>
          </cell>
          <cell r="C77" t="str">
            <v>矿物材料</v>
          </cell>
          <cell r="D77">
            <v>2</v>
          </cell>
          <cell r="E77">
            <v>60</v>
          </cell>
          <cell r="F77">
            <v>1</v>
          </cell>
          <cell r="G77">
            <v>1</v>
          </cell>
          <cell r="H77">
            <v>1</v>
          </cell>
        </row>
        <row r="78">
          <cell r="A78">
            <v>160010004</v>
          </cell>
          <cell r="B78" t="str">
            <v>赤纹铜矿</v>
          </cell>
          <cell r="C78" t="str">
            <v>矿物材料</v>
          </cell>
          <cell r="D78">
            <v>2</v>
          </cell>
          <cell r="E78">
            <v>60</v>
          </cell>
          <cell r="F78">
            <v>1</v>
          </cell>
          <cell r="G78">
            <v>1</v>
          </cell>
          <cell r="H78">
            <v>1</v>
          </cell>
        </row>
        <row r="79">
          <cell r="A79">
            <v>160010005</v>
          </cell>
          <cell r="B79" t="str">
            <v>杂纹彩晶</v>
          </cell>
          <cell r="C79" t="str">
            <v>矿物材料</v>
          </cell>
          <cell r="D79">
            <v>2</v>
          </cell>
          <cell r="E79">
            <v>60</v>
          </cell>
          <cell r="F79">
            <v>1</v>
          </cell>
          <cell r="G79">
            <v>1</v>
          </cell>
          <cell r="H79">
            <v>1</v>
          </cell>
        </row>
        <row r="80">
          <cell r="A80">
            <v>160010006</v>
          </cell>
          <cell r="B80" t="str">
            <v>岩纹原岩料</v>
          </cell>
          <cell r="C80" t="str">
            <v>矿物材料</v>
          </cell>
          <cell r="D80">
            <v>2</v>
          </cell>
          <cell r="E80">
            <v>60</v>
          </cell>
          <cell r="F80">
            <v>1</v>
          </cell>
          <cell r="G80">
            <v>1</v>
          </cell>
          <cell r="H80">
            <v>1</v>
          </cell>
        </row>
        <row r="81">
          <cell r="A81">
            <v>160010007</v>
          </cell>
          <cell r="B81" t="str">
            <v>素纹晶坯</v>
          </cell>
          <cell r="C81" t="str">
            <v>矿物材料</v>
          </cell>
          <cell r="D81">
            <v>2</v>
          </cell>
          <cell r="E81">
            <v>60</v>
          </cell>
          <cell r="F81">
            <v>1</v>
          </cell>
          <cell r="G81">
            <v>1</v>
          </cell>
          <cell r="H81">
            <v>1</v>
          </cell>
        </row>
        <row r="82">
          <cell r="A82">
            <v>160010008</v>
          </cell>
          <cell r="B82" t="str">
            <v>残痕矿坯</v>
          </cell>
          <cell r="C82" t="str">
            <v>矿物材料</v>
          </cell>
          <cell r="D82">
            <v>2</v>
          </cell>
          <cell r="E82">
            <v>60</v>
          </cell>
          <cell r="F82">
            <v>1</v>
          </cell>
          <cell r="G82">
            <v>2</v>
          </cell>
          <cell r="H82">
            <v>1</v>
          </cell>
        </row>
        <row r="83">
          <cell r="A83">
            <v>160010009</v>
          </cell>
          <cell r="B83" t="str">
            <v>淬火熟铁矿</v>
          </cell>
          <cell r="C83" t="str">
            <v>矿物材料</v>
          </cell>
          <cell r="D83">
            <v>2</v>
          </cell>
          <cell r="E83">
            <v>60</v>
          </cell>
          <cell r="F83">
            <v>1</v>
          </cell>
          <cell r="G83">
            <v>1</v>
          </cell>
          <cell r="H83">
            <v>1</v>
          </cell>
        </row>
        <row r="84">
          <cell r="A84">
            <v>160010010</v>
          </cell>
          <cell r="B84" t="str">
            <v>玄铁岩矿料</v>
          </cell>
          <cell r="C84" t="str">
            <v>矿物材料</v>
          </cell>
          <cell r="D84">
            <v>2</v>
          </cell>
          <cell r="E84">
            <v>60</v>
          </cell>
          <cell r="F84">
            <v>1</v>
          </cell>
          <cell r="G84">
            <v>1</v>
          </cell>
          <cell r="H84">
            <v>2</v>
          </cell>
        </row>
        <row r="85">
          <cell r="A85">
            <v>160010011</v>
          </cell>
          <cell r="B85" t="str">
            <v>月辉银晶</v>
          </cell>
          <cell r="C85" t="str">
            <v>矿物材料</v>
          </cell>
          <cell r="D85">
            <v>2</v>
          </cell>
          <cell r="E85">
            <v>60</v>
          </cell>
          <cell r="F85">
            <v>1</v>
          </cell>
          <cell r="G85">
            <v>1</v>
          </cell>
          <cell r="H85">
            <v>1</v>
          </cell>
        </row>
        <row r="86">
          <cell r="A86">
            <v>160010012</v>
          </cell>
          <cell r="B86" t="str">
            <v>赤焰熟铜矿</v>
          </cell>
          <cell r="C86" t="str">
            <v>矿物材料</v>
          </cell>
          <cell r="D86">
            <v>2</v>
          </cell>
          <cell r="E86">
            <v>60</v>
          </cell>
          <cell r="F86">
            <v>1</v>
          </cell>
          <cell r="G86">
            <v>1</v>
          </cell>
          <cell r="H86">
            <v>2</v>
          </cell>
        </row>
        <row r="87">
          <cell r="A87">
            <v>160010013</v>
          </cell>
          <cell r="B87" t="str">
            <v>混彩晶原石</v>
          </cell>
          <cell r="C87" t="str">
            <v>矿物材料</v>
          </cell>
          <cell r="D87">
            <v>2</v>
          </cell>
          <cell r="E87">
            <v>60</v>
          </cell>
          <cell r="F87">
            <v>1</v>
          </cell>
          <cell r="G87">
            <v>2</v>
          </cell>
          <cell r="H87">
            <v>2</v>
          </cell>
        </row>
        <row r="88">
          <cell r="A88">
            <v>160010014</v>
          </cell>
          <cell r="B88" t="str">
            <v>残虹晶屑</v>
          </cell>
          <cell r="C88" t="str">
            <v>矿物材料</v>
          </cell>
          <cell r="D88">
            <v>2</v>
          </cell>
          <cell r="E88">
            <v>60</v>
          </cell>
          <cell r="F88">
            <v>1</v>
          </cell>
          <cell r="G88">
            <v>2</v>
          </cell>
          <cell r="H88">
            <v>2</v>
          </cell>
        </row>
        <row r="89">
          <cell r="A89">
            <v>160010015</v>
          </cell>
          <cell r="B89" t="str">
            <v>铭纹精铁</v>
          </cell>
          <cell r="C89" t="str">
            <v>矿物材料</v>
          </cell>
          <cell r="D89">
            <v>2</v>
          </cell>
          <cell r="E89">
            <v>60</v>
          </cell>
          <cell r="F89">
            <v>1</v>
          </cell>
          <cell r="G89">
            <v>1</v>
          </cell>
          <cell r="H89">
            <v>1</v>
          </cell>
        </row>
        <row r="90">
          <cell r="A90">
            <v>160010016</v>
          </cell>
          <cell r="B90" t="str">
            <v>寒蓝晶矿</v>
          </cell>
          <cell r="C90" t="str">
            <v>矿物材料</v>
          </cell>
          <cell r="D90">
            <v>2</v>
          </cell>
          <cell r="E90">
            <v>60</v>
          </cell>
          <cell r="F90">
            <v>1</v>
          </cell>
          <cell r="G90">
            <v>1</v>
          </cell>
          <cell r="H90">
            <v>2</v>
          </cell>
        </row>
        <row r="91">
          <cell r="A91">
            <v>160010017</v>
          </cell>
          <cell r="B91" t="str">
            <v>深海原晶</v>
          </cell>
          <cell r="C91" t="str">
            <v>矿物材料</v>
          </cell>
          <cell r="D91">
            <v>2</v>
          </cell>
          <cell r="E91">
            <v>60</v>
          </cell>
          <cell r="F91">
            <v>1</v>
          </cell>
          <cell r="G91">
            <v>1</v>
          </cell>
          <cell r="H91">
            <v>2</v>
          </cell>
        </row>
        <row r="92">
          <cell r="A92">
            <v>160010018</v>
          </cell>
          <cell r="B92" t="str">
            <v>黑曜晶岩</v>
          </cell>
          <cell r="C92" t="str">
            <v>矿物材料</v>
          </cell>
          <cell r="D92">
            <v>2</v>
          </cell>
          <cell r="E92">
            <v>60</v>
          </cell>
          <cell r="F92">
            <v>1</v>
          </cell>
          <cell r="G92">
            <v>2</v>
          </cell>
          <cell r="H92">
            <v>1</v>
          </cell>
        </row>
        <row r="93">
          <cell r="A93">
            <v>160010019</v>
          </cell>
          <cell r="B93" t="str">
            <v>赤焰陨铁</v>
          </cell>
          <cell r="C93" t="str">
            <v>矿物材料</v>
          </cell>
          <cell r="D93">
            <v>2</v>
          </cell>
          <cell r="E93">
            <v>60</v>
          </cell>
          <cell r="F93">
            <v>1</v>
          </cell>
          <cell r="G93">
            <v>2</v>
          </cell>
          <cell r="H93">
            <v>2</v>
          </cell>
        </row>
        <row r="94">
          <cell r="A94">
            <v>160010020</v>
          </cell>
          <cell r="B94" t="str">
            <v>极寒冰晶</v>
          </cell>
          <cell r="C94" t="str">
            <v>矿物材料</v>
          </cell>
          <cell r="D94">
            <v>2</v>
          </cell>
          <cell r="E94">
            <v>60</v>
          </cell>
          <cell r="F94">
            <v>1</v>
          </cell>
          <cell r="G94">
            <v>1</v>
          </cell>
          <cell r="H94">
            <v>2</v>
          </cell>
        </row>
        <row r="95">
          <cell r="A95">
            <v>160010021</v>
          </cell>
          <cell r="B95" t="str">
            <v>星脉晶石英</v>
          </cell>
          <cell r="C95" t="str">
            <v>矿物材料</v>
          </cell>
          <cell r="D95">
            <v>2</v>
          </cell>
          <cell r="E95">
            <v>60</v>
          </cell>
          <cell r="F95">
            <v>1</v>
          </cell>
          <cell r="G95">
            <v>2</v>
          </cell>
          <cell r="H95">
            <v>2</v>
          </cell>
        </row>
        <row r="96">
          <cell r="A96">
            <v>160010022</v>
          </cell>
          <cell r="B96" t="str">
            <v>赤霄火铜</v>
          </cell>
          <cell r="C96" t="str">
            <v>矿物材料</v>
          </cell>
          <cell r="D96">
            <v>2</v>
          </cell>
          <cell r="E96">
            <v>60</v>
          </cell>
          <cell r="F96">
            <v>1</v>
          </cell>
          <cell r="G96">
            <v>2</v>
          </cell>
          <cell r="H96">
            <v>2</v>
          </cell>
        </row>
        <row r="97">
          <cell r="A97">
            <v>160010023</v>
          </cell>
          <cell r="B97" t="str">
            <v>灵纤石膏</v>
          </cell>
          <cell r="C97" t="str">
            <v>矿物材料</v>
          </cell>
          <cell r="D97">
            <v>2</v>
          </cell>
          <cell r="E97">
            <v>60</v>
          </cell>
          <cell r="F97">
            <v>1</v>
          </cell>
          <cell r="G97">
            <v>1</v>
          </cell>
          <cell r="H97">
            <v>1</v>
          </cell>
        </row>
        <row r="98">
          <cell r="A98">
            <v>160010024</v>
          </cell>
          <cell r="B98" t="str">
            <v>幽渊晶簇</v>
          </cell>
          <cell r="C98" t="str">
            <v>矿物材料</v>
          </cell>
          <cell r="D98">
            <v>2</v>
          </cell>
          <cell r="E98">
            <v>60</v>
          </cell>
          <cell r="F98">
            <v>1</v>
          </cell>
          <cell r="G98">
            <v>2</v>
          </cell>
          <cell r="H98">
            <v>2</v>
          </cell>
        </row>
        <row r="99">
          <cell r="A99">
            <v>160010025</v>
          </cell>
          <cell r="B99" t="str">
            <v>虹彩欧泊</v>
          </cell>
          <cell r="C99" t="str">
            <v>矿物材料</v>
          </cell>
          <cell r="D99">
            <v>2</v>
          </cell>
          <cell r="E99">
            <v>60</v>
          </cell>
          <cell r="F99">
            <v>1</v>
          </cell>
          <cell r="G99">
            <v>1</v>
          </cell>
          <cell r="H99">
            <v>1</v>
          </cell>
        </row>
        <row r="100">
          <cell r="A100">
            <v>160010026</v>
          </cell>
          <cell r="B100" t="str">
            <v>赤阳金矿</v>
          </cell>
          <cell r="C100" t="str">
            <v>矿物材料</v>
          </cell>
          <cell r="D100">
            <v>2</v>
          </cell>
          <cell r="E100">
            <v>60</v>
          </cell>
          <cell r="F100">
            <v>1</v>
          </cell>
          <cell r="G100">
            <v>1</v>
          </cell>
          <cell r="H100">
            <v>1</v>
          </cell>
        </row>
        <row r="101">
          <cell r="A101">
            <v>160010027</v>
          </cell>
          <cell r="B101" t="str">
            <v>深脉钴矿</v>
          </cell>
          <cell r="C101" t="str">
            <v>矿物材料</v>
          </cell>
          <cell r="D101">
            <v>2</v>
          </cell>
          <cell r="E101">
            <v>60</v>
          </cell>
          <cell r="F101">
            <v>1</v>
          </cell>
          <cell r="G101">
            <v>1</v>
          </cell>
          <cell r="H101">
            <v>2</v>
          </cell>
        </row>
        <row r="102">
          <cell r="A102">
            <v>160010028</v>
          </cell>
          <cell r="B102" t="str">
            <v>地脉原石</v>
          </cell>
          <cell r="C102" t="str">
            <v>矿物材料</v>
          </cell>
          <cell r="D102">
            <v>2</v>
          </cell>
          <cell r="E102">
            <v>60</v>
          </cell>
          <cell r="F102">
            <v>1</v>
          </cell>
          <cell r="G102">
            <v>2</v>
          </cell>
          <cell r="H102">
            <v>2</v>
          </cell>
        </row>
        <row r="103">
          <cell r="A103">
            <v>160010029</v>
          </cell>
          <cell r="B103" t="str">
            <v>星陨铁片</v>
          </cell>
          <cell r="C103" t="str">
            <v>矿物材料</v>
          </cell>
          <cell r="D103">
            <v>2</v>
          </cell>
          <cell r="E103">
            <v>60</v>
          </cell>
          <cell r="F103">
            <v>1</v>
          </cell>
          <cell r="G103">
            <v>1</v>
          </cell>
          <cell r="H103">
            <v>1</v>
          </cell>
        </row>
        <row r="104">
          <cell r="A104">
            <v>160010030</v>
          </cell>
          <cell r="B104" t="str">
            <v>暗影晶矿</v>
          </cell>
          <cell r="C104" t="str">
            <v>矿物材料</v>
          </cell>
          <cell r="D104">
            <v>2</v>
          </cell>
          <cell r="E104">
            <v>60</v>
          </cell>
          <cell r="F104">
            <v>1</v>
          </cell>
          <cell r="G104">
            <v>2</v>
          </cell>
          <cell r="H104">
            <v>1</v>
          </cell>
        </row>
        <row r="105">
          <cell r="A105">
            <v>160010031</v>
          </cell>
          <cell r="B105" t="str">
            <v>大地结核</v>
          </cell>
          <cell r="C105" t="str">
            <v>矿物材料</v>
          </cell>
          <cell r="D105">
            <v>2</v>
          </cell>
          <cell r="E105">
            <v>60</v>
          </cell>
          <cell r="F105">
            <v>1</v>
          </cell>
          <cell r="G105">
            <v>2</v>
          </cell>
          <cell r="H105">
            <v>2</v>
          </cell>
        </row>
        <row r="106">
          <cell r="A106">
            <v>160010032</v>
          </cell>
          <cell r="B106" t="str">
            <v>精金原胚</v>
          </cell>
          <cell r="C106" t="str">
            <v>矿物材料</v>
          </cell>
          <cell r="D106">
            <v>2</v>
          </cell>
          <cell r="E106">
            <v>60</v>
          </cell>
          <cell r="F106">
            <v>1</v>
          </cell>
          <cell r="G106">
            <v>4</v>
          </cell>
          <cell r="H106">
            <v>3</v>
          </cell>
        </row>
        <row r="107">
          <cell r="A107">
            <v>160010033</v>
          </cell>
          <cell r="B107" t="str">
            <v>赤铜合金</v>
          </cell>
          <cell r="C107" t="str">
            <v>矿物材料</v>
          </cell>
          <cell r="D107">
            <v>2</v>
          </cell>
          <cell r="E107">
            <v>60</v>
          </cell>
          <cell r="F107">
            <v>1</v>
          </cell>
          <cell r="G107">
            <v>2</v>
          </cell>
          <cell r="H107">
            <v>2</v>
          </cell>
        </row>
        <row r="108">
          <cell r="A108">
            <v>160010034</v>
          </cell>
          <cell r="B108" t="str">
            <v>金丝石英</v>
          </cell>
          <cell r="C108" t="str">
            <v>矿物材料</v>
          </cell>
          <cell r="D108">
            <v>2</v>
          </cell>
          <cell r="E108">
            <v>60</v>
          </cell>
          <cell r="F108">
            <v>1</v>
          </cell>
          <cell r="G108">
            <v>2</v>
          </cell>
          <cell r="H108">
            <v>2</v>
          </cell>
        </row>
        <row r="109">
          <cell r="A109">
            <v>160010035</v>
          </cell>
          <cell r="B109" t="str">
            <v>赤焰心晶</v>
          </cell>
          <cell r="C109" t="str">
            <v>矿物材料</v>
          </cell>
          <cell r="D109">
            <v>2</v>
          </cell>
          <cell r="E109">
            <v>60</v>
          </cell>
          <cell r="F109">
            <v>1</v>
          </cell>
          <cell r="G109">
            <v>2</v>
          </cell>
          <cell r="H109">
            <v>2</v>
          </cell>
        </row>
        <row r="110">
          <cell r="A110">
            <v>160010036</v>
          </cell>
          <cell r="B110" t="str">
            <v>炼狱玛瑙</v>
          </cell>
          <cell r="C110" t="str">
            <v>矿物材料</v>
          </cell>
          <cell r="D110">
            <v>2</v>
          </cell>
          <cell r="E110">
            <v>60</v>
          </cell>
          <cell r="F110">
            <v>1</v>
          </cell>
          <cell r="G110">
            <v>2</v>
          </cell>
          <cell r="H110">
            <v>2</v>
          </cell>
        </row>
        <row r="111">
          <cell r="A111">
            <v>160010037</v>
          </cell>
          <cell r="B111" t="str">
            <v>青金石锡</v>
          </cell>
          <cell r="C111" t="str">
            <v>矿物材料</v>
          </cell>
          <cell r="D111">
            <v>2</v>
          </cell>
          <cell r="E111">
            <v>60</v>
          </cell>
          <cell r="F111">
            <v>1</v>
          </cell>
          <cell r="G111">
            <v>1</v>
          </cell>
          <cell r="H111">
            <v>1</v>
          </cell>
        </row>
        <row r="112">
          <cell r="A112">
            <v>160010038</v>
          </cell>
          <cell r="B112" t="str">
            <v>星白银芯</v>
          </cell>
          <cell r="C112" t="str">
            <v>矿物材料</v>
          </cell>
          <cell r="D112">
            <v>2</v>
          </cell>
          <cell r="E112">
            <v>60</v>
          </cell>
          <cell r="F112">
            <v>1</v>
          </cell>
          <cell r="G112">
            <v>1</v>
          </cell>
          <cell r="H112">
            <v>2</v>
          </cell>
        </row>
        <row r="113">
          <cell r="A113">
            <v>160010039</v>
          </cell>
          <cell r="B113" t="str">
            <v>湛蓝虚空晶</v>
          </cell>
          <cell r="C113" t="str">
            <v>矿物材料</v>
          </cell>
          <cell r="D113">
            <v>2</v>
          </cell>
          <cell r="E113">
            <v>60</v>
          </cell>
          <cell r="F113">
            <v>1</v>
          </cell>
          <cell r="G113">
            <v>2</v>
          </cell>
          <cell r="H113">
            <v>2</v>
          </cell>
        </row>
        <row r="114">
          <cell r="A114">
            <v>160010040</v>
          </cell>
          <cell r="B114" t="str">
            <v>陨落星铁</v>
          </cell>
          <cell r="C114" t="str">
            <v>矿物材料</v>
          </cell>
          <cell r="D114">
            <v>2</v>
          </cell>
          <cell r="E114">
            <v>60</v>
          </cell>
          <cell r="F114">
            <v>1</v>
          </cell>
          <cell r="G114">
            <v>2</v>
          </cell>
          <cell r="H114">
            <v>1</v>
          </cell>
        </row>
        <row r="115">
          <cell r="A115">
            <v>160010041</v>
          </cell>
          <cell r="B115" t="str">
            <v>龙骸矿层</v>
          </cell>
          <cell r="C115" t="str">
            <v>矿物材料</v>
          </cell>
          <cell r="D115">
            <v>2</v>
          </cell>
          <cell r="E115">
            <v>60</v>
          </cell>
          <cell r="F115">
            <v>1</v>
          </cell>
          <cell r="G115">
            <v>3</v>
          </cell>
          <cell r="H115">
            <v>4</v>
          </cell>
        </row>
        <row r="116">
          <cell r="A116">
            <v>160010042</v>
          </cell>
          <cell r="B116" t="str">
            <v>原生金脉</v>
          </cell>
          <cell r="C116" t="str">
            <v>矿物材料</v>
          </cell>
          <cell r="D116">
            <v>2</v>
          </cell>
          <cell r="E116">
            <v>60</v>
          </cell>
          <cell r="F116">
            <v>1</v>
          </cell>
          <cell r="G116">
            <v>3</v>
          </cell>
          <cell r="H116">
            <v>3</v>
          </cell>
        </row>
        <row r="117">
          <cell r="A117">
            <v>160010043</v>
          </cell>
          <cell r="B117" t="str">
            <v>磁核铁岩</v>
          </cell>
          <cell r="C117" t="str">
            <v>矿物材料</v>
          </cell>
          <cell r="D117">
            <v>2</v>
          </cell>
          <cell r="E117">
            <v>60</v>
          </cell>
          <cell r="F117">
            <v>1</v>
          </cell>
          <cell r="G117">
            <v>3</v>
          </cell>
          <cell r="H117">
            <v>3</v>
          </cell>
        </row>
        <row r="118">
          <cell r="A118">
            <v>160010044</v>
          </cell>
          <cell r="B118" t="str">
            <v>黑曜母岩</v>
          </cell>
          <cell r="C118" t="str">
            <v>矿物材料</v>
          </cell>
          <cell r="D118">
            <v>2</v>
          </cell>
          <cell r="E118">
            <v>60</v>
          </cell>
          <cell r="F118">
            <v>1</v>
          </cell>
          <cell r="G118">
            <v>3</v>
          </cell>
          <cell r="H118">
            <v>2</v>
          </cell>
        </row>
        <row r="119">
          <cell r="A119">
            <v>160010045</v>
          </cell>
          <cell r="B119" t="str">
            <v>星耀蓝晶</v>
          </cell>
          <cell r="C119" t="str">
            <v>矿物材料</v>
          </cell>
          <cell r="D119">
            <v>2</v>
          </cell>
          <cell r="E119">
            <v>60</v>
          </cell>
          <cell r="F119">
            <v>1</v>
          </cell>
          <cell r="G119">
            <v>1</v>
          </cell>
          <cell r="H119">
            <v>1</v>
          </cell>
        </row>
        <row r="120">
          <cell r="A120">
            <v>160010046</v>
          </cell>
          <cell r="B120" t="str">
            <v>血纹赤晶</v>
          </cell>
          <cell r="C120" t="str">
            <v>矿物材料</v>
          </cell>
          <cell r="D120">
            <v>2</v>
          </cell>
          <cell r="E120">
            <v>60</v>
          </cell>
          <cell r="F120">
            <v>1</v>
          </cell>
          <cell r="G120">
            <v>1</v>
          </cell>
          <cell r="H120">
            <v>1</v>
          </cell>
        </row>
        <row r="121">
          <cell r="A121">
            <v>160010047</v>
          </cell>
          <cell r="B121" t="str">
            <v>帝绿宝核</v>
          </cell>
          <cell r="C121" t="str">
            <v>矿物材料</v>
          </cell>
          <cell r="D121">
            <v>2</v>
          </cell>
          <cell r="E121">
            <v>60</v>
          </cell>
          <cell r="F121">
            <v>1</v>
          </cell>
          <cell r="G121">
            <v>2</v>
          </cell>
          <cell r="H121">
            <v>1</v>
          </cell>
        </row>
        <row r="122">
          <cell r="A122">
            <v>160010048</v>
          </cell>
          <cell r="B122" t="str">
            <v>陨心金刚石</v>
          </cell>
          <cell r="C122" t="str">
            <v>矿物材料</v>
          </cell>
          <cell r="D122">
            <v>2</v>
          </cell>
          <cell r="E122">
            <v>60</v>
          </cell>
          <cell r="F122">
            <v>1</v>
          </cell>
          <cell r="G122">
            <v>2</v>
          </cell>
          <cell r="H122">
            <v>2</v>
          </cell>
        </row>
        <row r="123">
          <cell r="A123">
            <v>160010049</v>
          </cell>
          <cell r="B123" t="str">
            <v>虹辉欧泊石</v>
          </cell>
          <cell r="C123" t="str">
            <v>矿物材料</v>
          </cell>
          <cell r="D123">
            <v>2</v>
          </cell>
          <cell r="E123">
            <v>60</v>
          </cell>
          <cell r="F123">
            <v>1</v>
          </cell>
          <cell r="G123">
            <v>2</v>
          </cell>
          <cell r="H123">
            <v>2</v>
          </cell>
        </row>
        <row r="124">
          <cell r="A124">
            <v>160010050</v>
          </cell>
          <cell r="B124" t="str">
            <v>龙珀结晶</v>
          </cell>
          <cell r="C124" t="str">
            <v>矿物材料</v>
          </cell>
          <cell r="D124">
            <v>2</v>
          </cell>
          <cell r="E124">
            <v>60</v>
          </cell>
          <cell r="F124">
            <v>1</v>
          </cell>
          <cell r="G124">
            <v>2</v>
          </cell>
          <cell r="H124">
            <v>2</v>
          </cell>
        </row>
        <row r="125">
          <cell r="A125">
            <v>160010051</v>
          </cell>
          <cell r="B125" t="str">
            <v>月辉石核</v>
          </cell>
          <cell r="C125" t="str">
            <v>矿物材料</v>
          </cell>
          <cell r="D125">
            <v>2</v>
          </cell>
          <cell r="E125">
            <v>60</v>
          </cell>
          <cell r="F125">
            <v>1</v>
          </cell>
          <cell r="G125">
            <v>2</v>
          </cell>
          <cell r="H125">
            <v>2</v>
          </cell>
        </row>
        <row r="126">
          <cell r="A126">
            <v>160010052</v>
          </cell>
          <cell r="B126" t="str">
            <v>暗曜黑钻</v>
          </cell>
          <cell r="C126" t="str">
            <v>矿物材料</v>
          </cell>
          <cell r="D126">
            <v>2</v>
          </cell>
          <cell r="E126">
            <v>60</v>
          </cell>
          <cell r="F126">
            <v>1</v>
          </cell>
          <cell r="G126">
            <v>3</v>
          </cell>
          <cell r="H126">
            <v>2</v>
          </cell>
        </row>
        <row r="127">
          <cell r="A127">
            <v>160010053</v>
          </cell>
          <cell r="B127" t="str">
            <v>辉金矿核</v>
          </cell>
          <cell r="C127" t="str">
            <v>矿物材料</v>
          </cell>
          <cell r="D127">
            <v>2</v>
          </cell>
          <cell r="E127">
            <v>60</v>
          </cell>
          <cell r="F127">
            <v>1</v>
          </cell>
          <cell r="G127">
            <v>3</v>
          </cell>
          <cell r="H127">
            <v>3</v>
          </cell>
        </row>
        <row r="128">
          <cell r="A128">
            <v>160010054</v>
          </cell>
          <cell r="B128" t="str">
            <v>深渊玄铁</v>
          </cell>
          <cell r="C128" t="str">
            <v>矿物材料</v>
          </cell>
          <cell r="D128">
            <v>2</v>
          </cell>
          <cell r="E128">
            <v>60</v>
          </cell>
          <cell r="F128">
            <v>1</v>
          </cell>
          <cell r="G128">
            <v>3</v>
          </cell>
          <cell r="H128">
            <v>2</v>
          </cell>
        </row>
        <row r="129">
          <cell r="A129">
            <v>160020001</v>
          </cell>
          <cell r="B129" t="str">
            <v>生肉</v>
          </cell>
          <cell r="C129" t="str">
            <v>生物材料</v>
          </cell>
          <cell r="D129">
            <v>2</v>
          </cell>
          <cell r="E129">
            <v>60</v>
          </cell>
          <cell r="F129">
            <v>2</v>
          </cell>
          <cell r="G129">
            <v>1</v>
          </cell>
          <cell r="H129">
            <v>1</v>
          </cell>
        </row>
        <row r="130">
          <cell r="A130">
            <v>160020002</v>
          </cell>
          <cell r="B130" t="str">
            <v>粗制兽皮</v>
          </cell>
          <cell r="C130" t="str">
            <v>生物材料</v>
          </cell>
          <cell r="D130">
            <v>2</v>
          </cell>
          <cell r="E130">
            <v>60</v>
          </cell>
          <cell r="F130">
            <v>2</v>
          </cell>
          <cell r="G130">
            <v>1</v>
          </cell>
          <cell r="H130">
            <v>1</v>
          </cell>
        </row>
        <row r="131">
          <cell r="A131">
            <v>160020003</v>
          </cell>
          <cell r="B131" t="str">
            <v>巨龟甲片</v>
          </cell>
          <cell r="C131" t="str">
            <v>生物材料</v>
          </cell>
          <cell r="D131">
            <v>2</v>
          </cell>
          <cell r="E131">
            <v>60</v>
          </cell>
          <cell r="F131">
            <v>2</v>
          </cell>
          <cell r="G131">
            <v>2</v>
          </cell>
          <cell r="H131">
            <v>2</v>
          </cell>
        </row>
        <row r="132">
          <cell r="A132">
            <v>160020004</v>
          </cell>
          <cell r="B132" t="str">
            <v>魔兽心脏</v>
          </cell>
          <cell r="C132" t="str">
            <v>生物材料</v>
          </cell>
          <cell r="D132">
            <v>2</v>
          </cell>
          <cell r="E132">
            <v>60</v>
          </cell>
          <cell r="F132">
            <v>2</v>
          </cell>
          <cell r="G132">
            <v>1</v>
          </cell>
          <cell r="H132">
            <v>1</v>
          </cell>
        </row>
        <row r="133">
          <cell r="A133">
            <v>160020005</v>
          </cell>
          <cell r="B133" t="str">
            <v>曼德拉草</v>
          </cell>
          <cell r="C133" t="str">
            <v>生物材料</v>
          </cell>
          <cell r="D133">
            <v>2</v>
          </cell>
          <cell r="E133">
            <v>60</v>
          </cell>
          <cell r="F133">
            <v>2</v>
          </cell>
          <cell r="G133">
            <v>1</v>
          </cell>
          <cell r="H133">
            <v>1</v>
          </cell>
        </row>
        <row r="134">
          <cell r="A134">
            <v>160020006</v>
          </cell>
          <cell r="B134" t="str">
            <v>荒兽角</v>
          </cell>
          <cell r="C134" t="str">
            <v>生物材料</v>
          </cell>
          <cell r="D134">
            <v>2</v>
          </cell>
          <cell r="E134">
            <v>60</v>
          </cell>
          <cell r="F134">
            <v>2</v>
          </cell>
          <cell r="G134">
            <v>1</v>
          </cell>
          <cell r="H134">
            <v>2</v>
          </cell>
        </row>
        <row r="135">
          <cell r="A135">
            <v>160020007</v>
          </cell>
          <cell r="B135" t="str">
            <v>利齿</v>
          </cell>
          <cell r="C135" t="str">
            <v>生物材料</v>
          </cell>
          <cell r="D135">
            <v>2</v>
          </cell>
          <cell r="E135">
            <v>60</v>
          </cell>
          <cell r="F135">
            <v>2</v>
          </cell>
          <cell r="G135">
            <v>1</v>
          </cell>
          <cell r="H135">
            <v>1</v>
          </cell>
        </row>
        <row r="136">
          <cell r="A136">
            <v>160020008</v>
          </cell>
          <cell r="B136" t="str">
            <v>白化兽骨</v>
          </cell>
          <cell r="C136" t="str">
            <v>生物材料</v>
          </cell>
          <cell r="D136">
            <v>2</v>
          </cell>
          <cell r="E136">
            <v>60</v>
          </cell>
          <cell r="F136">
            <v>2</v>
          </cell>
          <cell r="G136">
            <v>1</v>
          </cell>
          <cell r="H136">
            <v>2</v>
          </cell>
        </row>
        <row r="137">
          <cell r="A137">
            <v>160020009</v>
          </cell>
          <cell r="B137" t="str">
            <v>荆棘花刺</v>
          </cell>
          <cell r="C137" t="str">
            <v>生物材料</v>
          </cell>
          <cell r="D137">
            <v>2</v>
          </cell>
          <cell r="E137">
            <v>60</v>
          </cell>
          <cell r="F137">
            <v>2</v>
          </cell>
          <cell r="G137">
            <v>1</v>
          </cell>
          <cell r="H137">
            <v>1</v>
          </cell>
        </row>
        <row r="138">
          <cell r="A138">
            <v>160020010</v>
          </cell>
          <cell r="B138" t="str">
            <v>魔蜂毒囊</v>
          </cell>
          <cell r="C138" t="str">
            <v>生物材料</v>
          </cell>
          <cell r="D138">
            <v>2</v>
          </cell>
          <cell r="E138">
            <v>60</v>
          </cell>
          <cell r="F138">
            <v>2</v>
          </cell>
          <cell r="G138">
            <v>1</v>
          </cell>
          <cell r="H138">
            <v>1</v>
          </cell>
        </row>
        <row r="139">
          <cell r="A139">
            <v>160020011</v>
          </cell>
          <cell r="B139" t="str">
            <v>草本药液</v>
          </cell>
          <cell r="C139" t="str">
            <v>生物材料</v>
          </cell>
          <cell r="D139">
            <v>2</v>
          </cell>
          <cell r="E139">
            <v>60</v>
          </cell>
          <cell r="F139">
            <v>2</v>
          </cell>
          <cell r="G139">
            <v>1</v>
          </cell>
          <cell r="H139">
            <v>1</v>
          </cell>
        </row>
        <row r="140">
          <cell r="A140">
            <v>160020012</v>
          </cell>
          <cell r="B140" t="str">
            <v>迅影兔腿</v>
          </cell>
          <cell r="C140" t="str">
            <v>生物材料</v>
          </cell>
          <cell r="D140">
            <v>2</v>
          </cell>
          <cell r="E140">
            <v>60</v>
          </cell>
          <cell r="F140">
            <v>2</v>
          </cell>
          <cell r="G140">
            <v>1</v>
          </cell>
          <cell r="H140">
            <v>1</v>
          </cell>
        </row>
        <row r="141">
          <cell r="A141">
            <v>160020013</v>
          </cell>
          <cell r="B141" t="str">
            <v>巨龟甲壳</v>
          </cell>
          <cell r="C141" t="str">
            <v>生物材料</v>
          </cell>
          <cell r="D141">
            <v>2</v>
          </cell>
          <cell r="E141">
            <v>60</v>
          </cell>
          <cell r="F141">
            <v>2</v>
          </cell>
          <cell r="G141">
            <v>1</v>
          </cell>
          <cell r="H141">
            <v>1</v>
          </cell>
        </row>
        <row r="142">
          <cell r="A142">
            <v>160020014</v>
          </cell>
          <cell r="B142" t="str">
            <v>幽冥狼牙</v>
          </cell>
          <cell r="C142" t="str">
            <v>生物材料</v>
          </cell>
          <cell r="D142">
            <v>2</v>
          </cell>
          <cell r="E142">
            <v>60</v>
          </cell>
          <cell r="F142">
            <v>2</v>
          </cell>
          <cell r="G142">
            <v>1</v>
          </cell>
          <cell r="H142">
            <v>1</v>
          </cell>
        </row>
        <row r="143">
          <cell r="A143">
            <v>160020015</v>
          </cell>
          <cell r="B143" t="str">
            <v>岩犀甲皮屑</v>
          </cell>
          <cell r="C143" t="str">
            <v>生物材料</v>
          </cell>
          <cell r="D143">
            <v>2</v>
          </cell>
          <cell r="E143">
            <v>60</v>
          </cell>
          <cell r="F143">
            <v>2</v>
          </cell>
          <cell r="G143">
            <v>1</v>
          </cell>
          <cell r="H143">
            <v>1</v>
          </cell>
        </row>
        <row r="144">
          <cell r="A144">
            <v>160020016</v>
          </cell>
          <cell r="B144" t="str">
            <v>猎鹰眼膜</v>
          </cell>
          <cell r="C144" t="str">
            <v>生物材料</v>
          </cell>
          <cell r="D144">
            <v>2</v>
          </cell>
          <cell r="E144">
            <v>60</v>
          </cell>
          <cell r="F144">
            <v>2</v>
          </cell>
          <cell r="G144">
            <v>1</v>
          </cell>
          <cell r="H144">
            <v>1</v>
          </cell>
        </row>
        <row r="145">
          <cell r="A145">
            <v>160020017</v>
          </cell>
          <cell r="B145" t="str">
            <v>桦树枝干</v>
          </cell>
          <cell r="C145" t="str">
            <v>生物材料</v>
          </cell>
          <cell r="D145">
            <v>2</v>
          </cell>
          <cell r="E145">
            <v>60</v>
          </cell>
          <cell r="F145">
            <v>2</v>
          </cell>
          <cell r="G145">
            <v>1</v>
          </cell>
          <cell r="H145">
            <v>2</v>
          </cell>
        </row>
        <row r="146">
          <cell r="A146">
            <v>160020018</v>
          </cell>
          <cell r="B146" t="str">
            <v>炽舌草</v>
          </cell>
          <cell r="C146" t="str">
            <v>生物材料</v>
          </cell>
          <cell r="D146">
            <v>2</v>
          </cell>
          <cell r="E146">
            <v>60</v>
          </cell>
          <cell r="F146">
            <v>2</v>
          </cell>
          <cell r="G146">
            <v>1</v>
          </cell>
          <cell r="H146">
            <v>1</v>
          </cell>
        </row>
        <row r="147">
          <cell r="A147">
            <v>160020019</v>
          </cell>
          <cell r="B147" t="str">
            <v>冻霜苔</v>
          </cell>
          <cell r="C147" t="str">
            <v>生物材料</v>
          </cell>
          <cell r="D147">
            <v>2</v>
          </cell>
          <cell r="E147">
            <v>60</v>
          </cell>
          <cell r="F147">
            <v>2</v>
          </cell>
          <cell r="G147">
            <v>1</v>
          </cell>
          <cell r="H147">
            <v>1</v>
          </cell>
        </row>
        <row r="148">
          <cell r="A148">
            <v>160020020</v>
          </cell>
          <cell r="B148" t="str">
            <v>野兽皮革</v>
          </cell>
          <cell r="C148" t="str">
            <v>生物材料</v>
          </cell>
          <cell r="D148">
            <v>2</v>
          </cell>
          <cell r="E148">
            <v>60</v>
          </cell>
          <cell r="F148">
            <v>2</v>
          </cell>
          <cell r="G148">
            <v>1</v>
          </cell>
          <cell r="H148">
            <v>1</v>
          </cell>
        </row>
        <row r="149">
          <cell r="A149">
            <v>160020021</v>
          </cell>
          <cell r="B149" t="str">
            <v>魔兽毛皮</v>
          </cell>
          <cell r="C149" t="str">
            <v>生物材料</v>
          </cell>
          <cell r="D149">
            <v>2</v>
          </cell>
          <cell r="E149">
            <v>60</v>
          </cell>
          <cell r="F149">
            <v>2</v>
          </cell>
          <cell r="G149">
            <v>1</v>
          </cell>
          <cell r="H149">
            <v>1</v>
          </cell>
        </row>
        <row r="150">
          <cell r="A150">
            <v>160020022</v>
          </cell>
          <cell r="B150" t="str">
            <v>韧化藤蔓丝</v>
          </cell>
          <cell r="C150" t="str">
            <v>生物材料</v>
          </cell>
          <cell r="D150">
            <v>2</v>
          </cell>
          <cell r="E150">
            <v>60</v>
          </cell>
          <cell r="F150">
            <v>2</v>
          </cell>
          <cell r="G150">
            <v>1</v>
          </cell>
          <cell r="H150">
            <v>1</v>
          </cell>
        </row>
        <row r="151">
          <cell r="A151">
            <v>160020023</v>
          </cell>
          <cell r="B151" t="str">
            <v>穿山甲鳞甲</v>
          </cell>
          <cell r="C151" t="str">
            <v>生物材料</v>
          </cell>
          <cell r="D151">
            <v>2</v>
          </cell>
          <cell r="E151">
            <v>60</v>
          </cell>
          <cell r="F151">
            <v>2</v>
          </cell>
          <cell r="G151">
            <v>2</v>
          </cell>
          <cell r="H151">
            <v>3</v>
          </cell>
        </row>
        <row r="152">
          <cell r="A152">
            <v>160020024</v>
          </cell>
          <cell r="B152" t="str">
            <v>硬质橡木</v>
          </cell>
          <cell r="C152" t="str">
            <v>生物材料</v>
          </cell>
          <cell r="D152">
            <v>2</v>
          </cell>
          <cell r="E152">
            <v>60</v>
          </cell>
          <cell r="F152">
            <v>2</v>
          </cell>
          <cell r="G152">
            <v>1</v>
          </cell>
          <cell r="H152">
            <v>2</v>
          </cell>
        </row>
        <row r="153">
          <cell r="A153">
            <v>160020025</v>
          </cell>
          <cell r="B153" t="str">
            <v>林地浆果</v>
          </cell>
          <cell r="C153" t="str">
            <v>生物材料</v>
          </cell>
          <cell r="D153">
            <v>2</v>
          </cell>
          <cell r="E153">
            <v>60</v>
          </cell>
          <cell r="F153">
            <v>2</v>
          </cell>
          <cell r="G153">
            <v>1</v>
          </cell>
          <cell r="H153">
            <v>1</v>
          </cell>
        </row>
        <row r="154">
          <cell r="A154">
            <v>160020026</v>
          </cell>
          <cell r="B154" t="str">
            <v>动物皮革</v>
          </cell>
          <cell r="C154" t="str">
            <v>生物材料</v>
          </cell>
          <cell r="D154">
            <v>2</v>
          </cell>
          <cell r="E154">
            <v>60</v>
          </cell>
          <cell r="F154">
            <v>2</v>
          </cell>
          <cell r="G154">
            <v>1</v>
          </cell>
          <cell r="H154">
            <v>1</v>
          </cell>
        </row>
        <row r="155">
          <cell r="A155">
            <v>160020027</v>
          </cell>
          <cell r="B155" t="str">
            <v>灵菇萃取液</v>
          </cell>
          <cell r="C155" t="str">
            <v>生物材料</v>
          </cell>
          <cell r="D155">
            <v>2</v>
          </cell>
          <cell r="E155">
            <v>60</v>
          </cell>
          <cell r="F155">
            <v>2</v>
          </cell>
          <cell r="G155">
            <v>1</v>
          </cell>
          <cell r="H155">
            <v>1</v>
          </cell>
        </row>
        <row r="156">
          <cell r="A156">
            <v>160020028</v>
          </cell>
          <cell r="B156" t="str">
            <v>生命之花</v>
          </cell>
          <cell r="C156" t="str">
            <v>生物材料</v>
          </cell>
          <cell r="D156">
            <v>2</v>
          </cell>
          <cell r="E156">
            <v>60</v>
          </cell>
          <cell r="F156">
            <v>2</v>
          </cell>
          <cell r="G156">
            <v>1</v>
          </cell>
          <cell r="H156">
            <v>2</v>
          </cell>
        </row>
        <row r="157">
          <cell r="A157">
            <v>160020029</v>
          </cell>
          <cell r="B157" t="str">
            <v>沼泽毒囊草</v>
          </cell>
          <cell r="C157" t="str">
            <v>生物材料</v>
          </cell>
          <cell r="D157">
            <v>2</v>
          </cell>
          <cell r="E157">
            <v>60</v>
          </cell>
          <cell r="F157">
            <v>2</v>
          </cell>
          <cell r="G157">
            <v>1</v>
          </cell>
          <cell r="H157">
            <v>1</v>
          </cell>
        </row>
        <row r="158">
          <cell r="A158">
            <v>160020030</v>
          </cell>
          <cell r="B158" t="str">
            <v>高级兽角</v>
          </cell>
          <cell r="C158" t="str">
            <v>生物材料</v>
          </cell>
          <cell r="D158">
            <v>2</v>
          </cell>
          <cell r="E158">
            <v>60</v>
          </cell>
          <cell r="F158">
            <v>2</v>
          </cell>
          <cell r="G158">
            <v>2</v>
          </cell>
          <cell r="H158">
            <v>2</v>
          </cell>
        </row>
        <row r="159">
          <cell r="A159">
            <v>160020031</v>
          </cell>
          <cell r="B159" t="str">
            <v>龙血结块</v>
          </cell>
          <cell r="C159" t="str">
            <v>生物材料</v>
          </cell>
          <cell r="D159">
            <v>2</v>
          </cell>
          <cell r="E159">
            <v>60</v>
          </cell>
          <cell r="F159">
            <v>2</v>
          </cell>
          <cell r="G159">
            <v>1</v>
          </cell>
          <cell r="H159">
            <v>1</v>
          </cell>
        </row>
        <row r="160">
          <cell r="A160">
            <v>160020032</v>
          </cell>
          <cell r="B160" t="str">
            <v>细密蛛丝</v>
          </cell>
          <cell r="C160" t="str">
            <v>生物材料</v>
          </cell>
          <cell r="D160">
            <v>2</v>
          </cell>
          <cell r="E160">
            <v>60</v>
          </cell>
          <cell r="F160">
            <v>2</v>
          </cell>
          <cell r="G160">
            <v>2</v>
          </cell>
          <cell r="H160">
            <v>2</v>
          </cell>
        </row>
        <row r="161">
          <cell r="A161">
            <v>160020033</v>
          </cell>
          <cell r="B161" t="str">
            <v>幻角兽血</v>
          </cell>
          <cell r="C161" t="str">
            <v>生物材料</v>
          </cell>
          <cell r="D161">
            <v>2</v>
          </cell>
          <cell r="E161">
            <v>60</v>
          </cell>
          <cell r="F161">
            <v>2</v>
          </cell>
          <cell r="G161">
            <v>1</v>
          </cell>
          <cell r="H161">
            <v>1</v>
          </cell>
        </row>
        <row r="162">
          <cell r="A162">
            <v>160020034</v>
          </cell>
          <cell r="B162" t="str">
            <v>岩犀厚甲片</v>
          </cell>
          <cell r="C162" t="str">
            <v>生物材料</v>
          </cell>
          <cell r="D162">
            <v>2</v>
          </cell>
          <cell r="E162">
            <v>60</v>
          </cell>
          <cell r="F162">
            <v>2</v>
          </cell>
          <cell r="G162">
            <v>2</v>
          </cell>
          <cell r="H162">
            <v>2</v>
          </cell>
        </row>
        <row r="163">
          <cell r="A163">
            <v>160020035</v>
          </cell>
          <cell r="B163" t="str">
            <v>紫杉木</v>
          </cell>
          <cell r="C163" t="str">
            <v>生物材料</v>
          </cell>
          <cell r="D163">
            <v>2</v>
          </cell>
          <cell r="E163">
            <v>60</v>
          </cell>
          <cell r="F163">
            <v>2</v>
          </cell>
          <cell r="G163">
            <v>1</v>
          </cell>
          <cell r="H163">
            <v>2</v>
          </cell>
        </row>
        <row r="164">
          <cell r="A164">
            <v>160020036</v>
          </cell>
          <cell r="B164" t="str">
            <v>月光花蜜</v>
          </cell>
          <cell r="C164" t="str">
            <v>生物材料</v>
          </cell>
          <cell r="D164">
            <v>2</v>
          </cell>
          <cell r="E164">
            <v>60</v>
          </cell>
          <cell r="F164">
            <v>2</v>
          </cell>
          <cell r="G164">
            <v>1</v>
          </cell>
          <cell r="H164">
            <v>1</v>
          </cell>
        </row>
        <row r="165">
          <cell r="A165">
            <v>160020037</v>
          </cell>
          <cell r="B165" t="str">
            <v>金鳞龙血</v>
          </cell>
          <cell r="C165" t="str">
            <v>生物材料</v>
          </cell>
          <cell r="D165">
            <v>2</v>
          </cell>
          <cell r="E165">
            <v>60</v>
          </cell>
          <cell r="F165">
            <v>2</v>
          </cell>
          <cell r="G165">
            <v>1</v>
          </cell>
          <cell r="H165">
            <v>1</v>
          </cell>
        </row>
        <row r="166">
          <cell r="A166">
            <v>160020038</v>
          </cell>
          <cell r="B166" t="str">
            <v>黑檀木</v>
          </cell>
          <cell r="C166" t="str">
            <v>生物材料</v>
          </cell>
          <cell r="D166">
            <v>2</v>
          </cell>
          <cell r="E166">
            <v>60</v>
          </cell>
          <cell r="F166">
            <v>2</v>
          </cell>
          <cell r="G166">
            <v>1</v>
          </cell>
          <cell r="H166">
            <v>2</v>
          </cell>
        </row>
        <row r="167">
          <cell r="A167">
            <v>160020039</v>
          </cell>
          <cell r="B167" t="str">
            <v>巨蛛毒腺</v>
          </cell>
          <cell r="C167" t="str">
            <v>生物材料</v>
          </cell>
          <cell r="D167">
            <v>2</v>
          </cell>
          <cell r="E167">
            <v>60</v>
          </cell>
          <cell r="F167">
            <v>2</v>
          </cell>
          <cell r="G167">
            <v>1</v>
          </cell>
          <cell r="H167">
            <v>1</v>
          </cell>
        </row>
        <row r="168">
          <cell r="A168">
            <v>160020040</v>
          </cell>
          <cell r="B168" t="str">
            <v>森林古鹿之角</v>
          </cell>
          <cell r="C168" t="str">
            <v>生物材料</v>
          </cell>
          <cell r="D168">
            <v>2</v>
          </cell>
          <cell r="E168">
            <v>60</v>
          </cell>
          <cell r="F168">
            <v>2</v>
          </cell>
          <cell r="G168">
            <v>1</v>
          </cell>
          <cell r="H168">
            <v>2</v>
          </cell>
        </row>
        <row r="169">
          <cell r="A169">
            <v>160020041</v>
          </cell>
          <cell r="B169" t="str">
            <v>渊甲龙鳞</v>
          </cell>
          <cell r="C169" t="str">
            <v>生物材料</v>
          </cell>
          <cell r="D169">
            <v>2</v>
          </cell>
          <cell r="E169">
            <v>60</v>
          </cell>
          <cell r="F169">
            <v>2</v>
          </cell>
          <cell r="G169">
            <v>2</v>
          </cell>
          <cell r="H169">
            <v>3</v>
          </cell>
        </row>
        <row r="170">
          <cell r="A170">
            <v>160020042</v>
          </cell>
          <cell r="B170" t="str">
            <v>炎羽龙皮</v>
          </cell>
          <cell r="C170" t="str">
            <v>生物材料</v>
          </cell>
          <cell r="D170">
            <v>2</v>
          </cell>
          <cell r="E170">
            <v>60</v>
          </cell>
          <cell r="F170">
            <v>2</v>
          </cell>
          <cell r="G170">
            <v>1</v>
          </cell>
          <cell r="H170">
            <v>2</v>
          </cell>
        </row>
        <row r="171">
          <cell r="A171">
            <v>160020043</v>
          </cell>
          <cell r="B171" t="str">
            <v>远古龙心</v>
          </cell>
          <cell r="C171" t="str">
            <v>生物材料</v>
          </cell>
          <cell r="D171">
            <v>2</v>
          </cell>
          <cell r="E171">
            <v>60</v>
          </cell>
          <cell r="F171">
            <v>2</v>
          </cell>
          <cell r="G171">
            <v>3</v>
          </cell>
          <cell r="H171">
            <v>3</v>
          </cell>
        </row>
        <row r="172">
          <cell r="A172">
            <v>160020044</v>
          </cell>
          <cell r="B172" t="str">
            <v>生命之树精华</v>
          </cell>
          <cell r="C172" t="str">
            <v>生物材料</v>
          </cell>
          <cell r="D172">
            <v>2</v>
          </cell>
          <cell r="E172">
            <v>60</v>
          </cell>
          <cell r="F172">
            <v>2</v>
          </cell>
          <cell r="G172">
            <v>3</v>
          </cell>
          <cell r="H172">
            <v>3</v>
          </cell>
        </row>
        <row r="173">
          <cell r="A173">
            <v>160020045</v>
          </cell>
          <cell r="B173" t="str">
            <v>龙骨标本</v>
          </cell>
          <cell r="C173" t="str">
            <v>生物材料</v>
          </cell>
          <cell r="D173">
            <v>2</v>
          </cell>
          <cell r="E173">
            <v>60</v>
          </cell>
          <cell r="F173">
            <v>2</v>
          </cell>
          <cell r="G173">
            <v>2</v>
          </cell>
          <cell r="H173">
            <v>2</v>
          </cell>
        </row>
        <row r="174">
          <cell r="A174">
            <v>160020046</v>
          </cell>
          <cell r="B174" t="str">
            <v>不朽之骨</v>
          </cell>
          <cell r="C174" t="str">
            <v>生物材料</v>
          </cell>
          <cell r="D174">
            <v>2</v>
          </cell>
          <cell r="E174">
            <v>60</v>
          </cell>
          <cell r="F174">
            <v>2</v>
          </cell>
          <cell r="G174">
            <v>2</v>
          </cell>
          <cell r="H174">
            <v>3</v>
          </cell>
        </row>
        <row r="175">
          <cell r="A175">
            <v>160020047</v>
          </cell>
          <cell r="B175" t="str">
            <v>神圣羽毛</v>
          </cell>
          <cell r="C175" t="str">
            <v>生物材料</v>
          </cell>
          <cell r="D175">
            <v>2</v>
          </cell>
          <cell r="E175">
            <v>60</v>
          </cell>
          <cell r="F175">
            <v>2</v>
          </cell>
          <cell r="G175">
            <v>2</v>
          </cell>
          <cell r="H175">
            <v>3</v>
          </cell>
        </row>
        <row r="176">
          <cell r="A176">
            <v>160020048</v>
          </cell>
          <cell r="B176" t="str">
            <v>星界灵翼晶核</v>
          </cell>
          <cell r="C176" t="str">
            <v>生物材料</v>
          </cell>
          <cell r="D176">
            <v>2</v>
          </cell>
          <cell r="E176">
            <v>60</v>
          </cell>
          <cell r="F176">
            <v>2</v>
          </cell>
          <cell r="G176">
            <v>2</v>
          </cell>
          <cell r="H176">
            <v>2</v>
          </cell>
        </row>
        <row r="177">
          <cell r="A177">
            <v>160030001</v>
          </cell>
          <cell r="B177" t="str">
            <v>卫兵残魂</v>
          </cell>
          <cell r="C177" t="str">
            <v>能量材料</v>
          </cell>
          <cell r="D177">
            <v>2</v>
          </cell>
          <cell r="E177">
            <v>60</v>
          </cell>
          <cell r="F177">
            <v>3</v>
          </cell>
          <cell r="G177">
            <v>1</v>
          </cell>
          <cell r="H177">
            <v>1</v>
          </cell>
        </row>
        <row r="178">
          <cell r="A178">
            <v>160030002</v>
          </cell>
          <cell r="B178" t="str">
            <v>狂化气息</v>
          </cell>
          <cell r="C178" t="str">
            <v>能量材料</v>
          </cell>
          <cell r="D178">
            <v>2</v>
          </cell>
          <cell r="E178">
            <v>60</v>
          </cell>
          <cell r="F178">
            <v>3</v>
          </cell>
          <cell r="G178">
            <v>1</v>
          </cell>
          <cell r="H178">
            <v>1</v>
          </cell>
        </row>
        <row r="179">
          <cell r="A179">
            <v>160030003</v>
          </cell>
          <cell r="B179" t="str">
            <v>大地之息</v>
          </cell>
          <cell r="C179" t="str">
            <v>能量材料</v>
          </cell>
          <cell r="D179">
            <v>2</v>
          </cell>
          <cell r="E179">
            <v>60</v>
          </cell>
          <cell r="F179">
            <v>3</v>
          </cell>
          <cell r="G179">
            <v>1</v>
          </cell>
          <cell r="H179">
            <v>1</v>
          </cell>
        </row>
        <row r="180">
          <cell r="A180">
            <v>160030004</v>
          </cell>
          <cell r="B180" t="str">
            <v>魔力萃取液</v>
          </cell>
          <cell r="C180" t="str">
            <v>能量材料</v>
          </cell>
          <cell r="D180">
            <v>2</v>
          </cell>
          <cell r="E180">
            <v>60</v>
          </cell>
          <cell r="F180">
            <v>3</v>
          </cell>
          <cell r="G180">
            <v>1</v>
          </cell>
          <cell r="H180">
            <v>1</v>
          </cell>
        </row>
        <row r="181">
          <cell r="A181">
            <v>160030005</v>
          </cell>
          <cell r="B181" t="str">
            <v>调律之尘</v>
          </cell>
          <cell r="C181" t="str">
            <v>能量材料</v>
          </cell>
          <cell r="D181">
            <v>2</v>
          </cell>
          <cell r="E181">
            <v>60</v>
          </cell>
          <cell r="F181">
            <v>3</v>
          </cell>
          <cell r="G181">
            <v>1</v>
          </cell>
          <cell r="H181">
            <v>1</v>
          </cell>
        </row>
        <row r="182">
          <cell r="A182">
            <v>160030006</v>
          </cell>
          <cell r="B182" t="str">
            <v>奥能粉尘</v>
          </cell>
          <cell r="C182" t="str">
            <v>能量材料</v>
          </cell>
          <cell r="D182">
            <v>2</v>
          </cell>
          <cell r="E182">
            <v>60</v>
          </cell>
          <cell r="F182">
            <v>3</v>
          </cell>
          <cell r="G182">
            <v>1</v>
          </cell>
          <cell r="H182">
            <v>1</v>
          </cell>
        </row>
        <row r="183">
          <cell r="A183">
            <v>160030007</v>
          </cell>
          <cell r="B183" t="str">
            <v>虚域残片</v>
          </cell>
          <cell r="C183" t="str">
            <v>能量材料</v>
          </cell>
          <cell r="D183">
            <v>2</v>
          </cell>
          <cell r="E183">
            <v>60</v>
          </cell>
          <cell r="F183">
            <v>3</v>
          </cell>
          <cell r="G183">
            <v>1</v>
          </cell>
          <cell r="H183">
            <v>1</v>
          </cell>
        </row>
        <row r="184">
          <cell r="A184">
            <v>160030008</v>
          </cell>
          <cell r="B184" t="str">
            <v>元素粉末</v>
          </cell>
          <cell r="C184" t="str">
            <v>能量材料</v>
          </cell>
          <cell r="D184">
            <v>2</v>
          </cell>
          <cell r="E184">
            <v>60</v>
          </cell>
          <cell r="F184">
            <v>3</v>
          </cell>
          <cell r="G184">
            <v>1</v>
          </cell>
          <cell r="H184">
            <v>1</v>
          </cell>
        </row>
        <row r="185">
          <cell r="A185">
            <v>160030009</v>
          </cell>
          <cell r="B185" t="str">
            <v>时光微尘</v>
          </cell>
          <cell r="C185" t="str">
            <v>能量材料</v>
          </cell>
          <cell r="D185">
            <v>2</v>
          </cell>
          <cell r="E185">
            <v>60</v>
          </cell>
          <cell r="F185">
            <v>3</v>
          </cell>
          <cell r="G185">
            <v>1</v>
          </cell>
          <cell r="H185">
            <v>1</v>
          </cell>
        </row>
        <row r="186">
          <cell r="A186">
            <v>160030010</v>
          </cell>
          <cell r="B186" t="str">
            <v>轻风之羽</v>
          </cell>
          <cell r="C186" t="str">
            <v>能量材料</v>
          </cell>
          <cell r="D186">
            <v>2</v>
          </cell>
          <cell r="E186">
            <v>60</v>
          </cell>
          <cell r="F186">
            <v>3</v>
          </cell>
          <cell r="G186">
            <v>1</v>
          </cell>
          <cell r="H186">
            <v>1</v>
          </cell>
        </row>
        <row r="187">
          <cell r="A187">
            <v>160030011</v>
          </cell>
          <cell r="B187" t="str">
            <v>锐化晶砂</v>
          </cell>
          <cell r="C187" t="str">
            <v>能量材料</v>
          </cell>
          <cell r="D187">
            <v>2</v>
          </cell>
          <cell r="E187">
            <v>60</v>
          </cell>
          <cell r="F187">
            <v>3</v>
          </cell>
          <cell r="G187">
            <v>2</v>
          </cell>
          <cell r="H187">
            <v>2</v>
          </cell>
        </row>
        <row r="188">
          <cell r="A188">
            <v>160030012</v>
          </cell>
          <cell r="B188" t="str">
            <v>战士执念</v>
          </cell>
          <cell r="C188" t="str">
            <v>能量材料</v>
          </cell>
          <cell r="D188">
            <v>2</v>
          </cell>
          <cell r="E188">
            <v>60</v>
          </cell>
          <cell r="F188">
            <v>3</v>
          </cell>
          <cell r="G188">
            <v>1</v>
          </cell>
          <cell r="H188">
            <v>1</v>
          </cell>
        </row>
        <row r="189">
          <cell r="A189">
            <v>160030013</v>
          </cell>
          <cell r="B189" t="str">
            <v>狂化能量</v>
          </cell>
          <cell r="C189" t="str">
            <v>能量材料</v>
          </cell>
          <cell r="D189">
            <v>2</v>
          </cell>
          <cell r="E189">
            <v>60</v>
          </cell>
          <cell r="F189">
            <v>3</v>
          </cell>
          <cell r="G189">
            <v>2</v>
          </cell>
          <cell r="H189">
            <v>2</v>
          </cell>
        </row>
        <row r="190">
          <cell r="A190">
            <v>160030014</v>
          </cell>
          <cell r="B190" t="str">
            <v>大地精华</v>
          </cell>
          <cell r="C190" t="str">
            <v>能量材料</v>
          </cell>
          <cell r="D190">
            <v>2</v>
          </cell>
          <cell r="E190">
            <v>60</v>
          </cell>
          <cell r="F190">
            <v>3</v>
          </cell>
          <cell r="G190">
            <v>4</v>
          </cell>
          <cell r="H190">
            <v>2</v>
          </cell>
        </row>
        <row r="191">
          <cell r="A191">
            <v>160030015</v>
          </cell>
          <cell r="B191" t="str">
            <v>秘银粉末</v>
          </cell>
          <cell r="C191" t="str">
            <v>能量材料</v>
          </cell>
          <cell r="D191">
            <v>2</v>
          </cell>
          <cell r="E191">
            <v>60</v>
          </cell>
          <cell r="F191">
            <v>3</v>
          </cell>
          <cell r="G191">
            <v>1</v>
          </cell>
          <cell r="H191">
            <v>1</v>
          </cell>
        </row>
        <row r="192">
          <cell r="A192">
            <v>160030016</v>
          </cell>
          <cell r="B192" t="str">
            <v>活化试剂</v>
          </cell>
          <cell r="C192" t="str">
            <v>能量材料</v>
          </cell>
          <cell r="D192">
            <v>2</v>
          </cell>
          <cell r="E192">
            <v>60</v>
          </cell>
          <cell r="F192">
            <v>3</v>
          </cell>
          <cell r="G192">
            <v>1</v>
          </cell>
          <cell r="H192">
            <v>1</v>
          </cell>
        </row>
        <row r="193">
          <cell r="A193">
            <v>160030017</v>
          </cell>
          <cell r="B193" t="str">
            <v>时光砂砾</v>
          </cell>
          <cell r="C193" t="str">
            <v>能量材料</v>
          </cell>
          <cell r="D193">
            <v>2</v>
          </cell>
          <cell r="E193">
            <v>60</v>
          </cell>
          <cell r="F193">
            <v>3</v>
          </cell>
          <cell r="G193">
            <v>2</v>
          </cell>
          <cell r="H193">
            <v>2</v>
          </cell>
        </row>
        <row r="194">
          <cell r="A194">
            <v>160030018</v>
          </cell>
          <cell r="B194" t="str">
            <v>英雄意志</v>
          </cell>
          <cell r="C194" t="str">
            <v>能量材料</v>
          </cell>
          <cell r="D194">
            <v>2</v>
          </cell>
          <cell r="E194">
            <v>60</v>
          </cell>
          <cell r="F194">
            <v>3</v>
          </cell>
          <cell r="G194">
            <v>1</v>
          </cell>
          <cell r="H194">
            <v>2</v>
          </cell>
        </row>
        <row r="195">
          <cell r="A195">
            <v>160030019</v>
          </cell>
          <cell r="B195" t="str">
            <v>锐化晶簇</v>
          </cell>
          <cell r="C195" t="str">
            <v>能量材料</v>
          </cell>
          <cell r="D195">
            <v>2</v>
          </cell>
          <cell r="E195">
            <v>60</v>
          </cell>
          <cell r="F195">
            <v>3</v>
          </cell>
          <cell r="G195">
            <v>2</v>
          </cell>
          <cell r="H195">
            <v>2</v>
          </cell>
        </row>
        <row r="196">
          <cell r="A196">
            <v>160030020</v>
          </cell>
          <cell r="B196" t="str">
            <v>流云之翎</v>
          </cell>
          <cell r="C196" t="str">
            <v>能量材料</v>
          </cell>
          <cell r="D196">
            <v>2</v>
          </cell>
          <cell r="E196">
            <v>60</v>
          </cell>
          <cell r="F196">
            <v>3</v>
          </cell>
          <cell r="G196">
            <v>1</v>
          </cell>
          <cell r="H196">
            <v>2</v>
          </cell>
        </row>
        <row r="197">
          <cell r="A197">
            <v>160030021</v>
          </cell>
          <cell r="B197" t="str">
            <v>狂化魔核</v>
          </cell>
          <cell r="C197" t="str">
            <v>能量材料</v>
          </cell>
          <cell r="D197">
            <v>2</v>
          </cell>
          <cell r="E197">
            <v>60</v>
          </cell>
          <cell r="F197">
            <v>3</v>
          </cell>
          <cell r="G197">
            <v>2</v>
          </cell>
          <cell r="H197">
            <v>2</v>
          </cell>
        </row>
        <row r="198">
          <cell r="A198">
            <v>160030022</v>
          </cell>
          <cell r="B198" t="str">
            <v>大地之心</v>
          </cell>
          <cell r="C198" t="str">
            <v>能量材料</v>
          </cell>
          <cell r="D198">
            <v>2</v>
          </cell>
          <cell r="E198">
            <v>60</v>
          </cell>
          <cell r="F198">
            <v>3</v>
          </cell>
          <cell r="G198">
            <v>4</v>
          </cell>
          <cell r="H198">
            <v>3</v>
          </cell>
        </row>
        <row r="199">
          <cell r="A199">
            <v>160030023</v>
          </cell>
          <cell r="B199" t="str">
            <v>变异诱剂</v>
          </cell>
          <cell r="C199" t="str">
            <v>能量材料</v>
          </cell>
          <cell r="D199">
            <v>2</v>
          </cell>
          <cell r="E199">
            <v>60</v>
          </cell>
          <cell r="F199">
            <v>3</v>
          </cell>
          <cell r="G199">
            <v>2</v>
          </cell>
          <cell r="H199">
            <v>1</v>
          </cell>
        </row>
        <row r="200">
          <cell r="A200">
            <v>160030024</v>
          </cell>
          <cell r="B200" t="str">
            <v>时光河水</v>
          </cell>
          <cell r="C200" t="str">
            <v>能量材料</v>
          </cell>
          <cell r="D200">
            <v>2</v>
          </cell>
          <cell r="E200">
            <v>60</v>
          </cell>
          <cell r="F200">
            <v>3</v>
          </cell>
          <cell r="G200">
            <v>2</v>
          </cell>
          <cell r="H200">
            <v>3</v>
          </cell>
        </row>
        <row r="201">
          <cell r="A201">
            <v>160030025</v>
          </cell>
          <cell r="B201" t="str">
            <v>裂空之翼</v>
          </cell>
          <cell r="C201" t="str">
            <v>能量材料</v>
          </cell>
          <cell r="D201">
            <v>2</v>
          </cell>
          <cell r="E201">
            <v>60</v>
          </cell>
          <cell r="F201">
            <v>3</v>
          </cell>
          <cell r="G201">
            <v>3</v>
          </cell>
          <cell r="H201">
            <v>3</v>
          </cell>
        </row>
        <row r="202">
          <cell r="A202">
            <v>160030026</v>
          </cell>
          <cell r="B202" t="str">
            <v>雷霆聚能核</v>
          </cell>
          <cell r="C202" t="str">
            <v>能量材料</v>
          </cell>
          <cell r="D202">
            <v>2</v>
          </cell>
          <cell r="E202">
            <v>60</v>
          </cell>
          <cell r="F202">
            <v>3</v>
          </cell>
          <cell r="G202">
            <v>2</v>
          </cell>
          <cell r="H202">
            <v>2</v>
          </cell>
        </row>
        <row r="203">
          <cell r="A203">
            <v>160030027</v>
          </cell>
          <cell r="B203" t="str">
            <v>锐化晶阵</v>
          </cell>
          <cell r="C203" t="str">
            <v>能量材料</v>
          </cell>
          <cell r="D203">
            <v>2</v>
          </cell>
          <cell r="E203">
            <v>60</v>
          </cell>
          <cell r="F203">
            <v>3</v>
          </cell>
          <cell r="G203">
            <v>2</v>
          </cell>
          <cell r="H203">
            <v>2</v>
          </cell>
        </row>
        <row r="204">
          <cell r="A204">
            <v>160030028</v>
          </cell>
          <cell r="B204" t="str">
            <v>灵能水晶</v>
          </cell>
          <cell r="C204" t="str">
            <v>能量材料</v>
          </cell>
          <cell r="D204">
            <v>2</v>
          </cell>
          <cell r="E204">
            <v>60</v>
          </cell>
          <cell r="F204">
            <v>3</v>
          </cell>
          <cell r="G204">
            <v>2</v>
          </cell>
          <cell r="H204">
            <v>1</v>
          </cell>
        </row>
        <row r="205">
          <cell r="A205">
            <v>160030029</v>
          </cell>
          <cell r="B205" t="str">
            <v>原初能核</v>
          </cell>
          <cell r="C205" t="str">
            <v>能量材料</v>
          </cell>
          <cell r="D205">
            <v>2</v>
          </cell>
          <cell r="E205">
            <v>60</v>
          </cell>
          <cell r="F205">
            <v>3</v>
          </cell>
          <cell r="G205">
            <v>1</v>
          </cell>
          <cell r="H205">
            <v>1</v>
          </cell>
        </row>
        <row r="206">
          <cell r="A206">
            <v>160030030</v>
          </cell>
          <cell r="B206" t="str">
            <v>元素之心</v>
          </cell>
          <cell r="C206" t="str">
            <v>能量材料</v>
          </cell>
          <cell r="D206">
            <v>2</v>
          </cell>
          <cell r="E206">
            <v>60</v>
          </cell>
          <cell r="F206">
            <v>3</v>
          </cell>
          <cell r="G206">
            <v>2</v>
          </cell>
          <cell r="H206">
            <v>2</v>
          </cell>
        </row>
        <row r="207">
          <cell r="A207">
            <v>160030031</v>
          </cell>
          <cell r="B207" t="str">
            <v>永燃之心</v>
          </cell>
          <cell r="C207" t="str">
            <v>能量材料</v>
          </cell>
          <cell r="D207">
            <v>2</v>
          </cell>
          <cell r="E207">
            <v>60</v>
          </cell>
          <cell r="F207">
            <v>3</v>
          </cell>
          <cell r="G207">
            <v>3</v>
          </cell>
          <cell r="H207">
            <v>3</v>
          </cell>
        </row>
        <row r="208">
          <cell r="A208">
            <v>160030032</v>
          </cell>
          <cell r="B208" t="str">
            <v>深海之心</v>
          </cell>
          <cell r="C208" t="str">
            <v>能量材料</v>
          </cell>
          <cell r="D208">
            <v>2</v>
          </cell>
          <cell r="E208">
            <v>60</v>
          </cell>
          <cell r="F208">
            <v>3</v>
          </cell>
          <cell r="G208">
            <v>3</v>
          </cell>
          <cell r="H208">
            <v>2</v>
          </cell>
        </row>
        <row r="209">
          <cell r="A209">
            <v>160030033</v>
          </cell>
          <cell r="B209" t="str">
            <v>风暴之心</v>
          </cell>
          <cell r="C209" t="str">
            <v>能量材料</v>
          </cell>
          <cell r="D209">
            <v>2</v>
          </cell>
          <cell r="E209">
            <v>60</v>
          </cell>
          <cell r="F209">
            <v>3</v>
          </cell>
          <cell r="G209">
            <v>3</v>
          </cell>
          <cell r="H209">
            <v>3</v>
          </cell>
        </row>
        <row r="210">
          <cell r="A210">
            <v>160030034</v>
          </cell>
          <cell r="B210" t="str">
            <v>星光之心</v>
          </cell>
          <cell r="C210" t="str">
            <v>能量材料</v>
          </cell>
          <cell r="D210">
            <v>2</v>
          </cell>
          <cell r="E210">
            <v>60</v>
          </cell>
          <cell r="F210">
            <v>3</v>
          </cell>
          <cell r="G210">
            <v>3</v>
          </cell>
          <cell r="H210">
            <v>4</v>
          </cell>
        </row>
        <row r="211">
          <cell r="A211">
            <v>160040001</v>
          </cell>
          <cell r="B211" t="str">
            <v>刻刀</v>
          </cell>
          <cell r="C211" t="str">
            <v>工具耗材</v>
          </cell>
          <cell r="D211">
            <v>2</v>
          </cell>
          <cell r="E211">
            <v>60</v>
          </cell>
          <cell r="F211">
            <v>4</v>
          </cell>
          <cell r="G211">
            <v>1</v>
          </cell>
          <cell r="H211">
            <v>1</v>
          </cell>
        </row>
        <row r="212">
          <cell r="A212">
            <v>160040002</v>
          </cell>
          <cell r="B212" t="str">
            <v>磨刀石</v>
          </cell>
          <cell r="C212" t="str">
            <v>工具耗材</v>
          </cell>
          <cell r="D212">
            <v>2</v>
          </cell>
          <cell r="E212">
            <v>60</v>
          </cell>
          <cell r="F212">
            <v>4</v>
          </cell>
          <cell r="G212">
            <v>1</v>
          </cell>
          <cell r="H212">
            <v>2</v>
          </cell>
        </row>
        <row r="213">
          <cell r="A213">
            <v>160040003</v>
          </cell>
          <cell r="B213" t="str">
            <v>线</v>
          </cell>
          <cell r="C213" t="str">
            <v>工具耗材</v>
          </cell>
          <cell r="D213">
            <v>2</v>
          </cell>
          <cell r="E213">
            <v>60</v>
          </cell>
          <cell r="F213">
            <v>4</v>
          </cell>
          <cell r="G213">
            <v>1</v>
          </cell>
          <cell r="H213">
            <v>1</v>
          </cell>
        </row>
        <row r="214">
          <cell r="A214">
            <v>160040004</v>
          </cell>
          <cell r="B214" t="str">
            <v>空瓶</v>
          </cell>
          <cell r="C214" t="str">
            <v>工具耗材</v>
          </cell>
          <cell r="D214">
            <v>2</v>
          </cell>
          <cell r="E214">
            <v>60</v>
          </cell>
          <cell r="F214">
            <v>4</v>
          </cell>
          <cell r="G214">
            <v>1</v>
          </cell>
          <cell r="H214">
            <v>2</v>
          </cell>
        </row>
        <row r="215">
          <cell r="A215">
            <v>160040005</v>
          </cell>
          <cell r="B215" t="str">
            <v>炼金瓶</v>
          </cell>
          <cell r="C215" t="str">
            <v>工具耗材</v>
          </cell>
          <cell r="D215">
            <v>2</v>
          </cell>
          <cell r="E215">
            <v>60</v>
          </cell>
          <cell r="F215">
            <v>4</v>
          </cell>
          <cell r="G215">
            <v>2</v>
          </cell>
          <cell r="H215">
            <v>2</v>
          </cell>
        </row>
        <row r="216">
          <cell r="A216">
            <v>160040006</v>
          </cell>
          <cell r="B216" t="str">
            <v>绳子</v>
          </cell>
          <cell r="C216" t="str">
            <v>工具耗材</v>
          </cell>
          <cell r="D216">
            <v>2</v>
          </cell>
          <cell r="E216">
            <v>60</v>
          </cell>
          <cell r="F216">
            <v>4</v>
          </cell>
          <cell r="G216">
            <v>1</v>
          </cell>
          <cell r="H216">
            <v>2</v>
          </cell>
        </row>
        <row r="217">
          <cell r="A217">
            <v>160040007</v>
          </cell>
          <cell r="B217" t="str">
            <v>一盒钉子</v>
          </cell>
          <cell r="C217" t="str">
            <v>工具耗材</v>
          </cell>
          <cell r="D217">
            <v>2</v>
          </cell>
          <cell r="E217">
            <v>60</v>
          </cell>
          <cell r="F217">
            <v>4</v>
          </cell>
          <cell r="G217">
            <v>1</v>
          </cell>
          <cell r="H217">
            <v>1</v>
          </cell>
        </row>
        <row r="218">
          <cell r="A218">
            <v>160040008</v>
          </cell>
          <cell r="B218" t="str">
            <v>铁锁扣</v>
          </cell>
          <cell r="C218" t="str">
            <v>工具耗材</v>
          </cell>
          <cell r="D218">
            <v>2</v>
          </cell>
          <cell r="E218">
            <v>60</v>
          </cell>
          <cell r="F218">
            <v>4</v>
          </cell>
          <cell r="G218">
            <v>1</v>
          </cell>
          <cell r="H218">
            <v>1</v>
          </cell>
        </row>
        <row r="219">
          <cell r="A219">
            <v>160040009</v>
          </cell>
          <cell r="B219" t="str">
            <v>木材</v>
          </cell>
          <cell r="C219" t="str">
            <v>工具耗材</v>
          </cell>
          <cell r="D219">
            <v>2</v>
          </cell>
          <cell r="E219">
            <v>60</v>
          </cell>
          <cell r="F219">
            <v>4</v>
          </cell>
          <cell r="G219">
            <v>1</v>
          </cell>
          <cell r="H219">
            <v>2</v>
          </cell>
        </row>
        <row r="220">
          <cell r="A220">
            <v>160040010</v>
          </cell>
          <cell r="B220" t="str">
            <v>木尺</v>
          </cell>
          <cell r="C220" t="str">
            <v>工具耗材</v>
          </cell>
          <cell r="D220">
            <v>2</v>
          </cell>
          <cell r="E220">
            <v>60</v>
          </cell>
          <cell r="F220">
            <v>4</v>
          </cell>
          <cell r="G220">
            <v>1</v>
          </cell>
          <cell r="H220">
            <v>1</v>
          </cell>
        </row>
        <row r="221">
          <cell r="A221">
            <v>160040011</v>
          </cell>
          <cell r="B221" t="str">
            <v>生锈剪刀</v>
          </cell>
          <cell r="C221" t="str">
            <v>工具耗材</v>
          </cell>
          <cell r="D221">
            <v>2</v>
          </cell>
          <cell r="E221">
            <v>60</v>
          </cell>
          <cell r="F221">
            <v>4</v>
          </cell>
          <cell r="G221">
            <v>1</v>
          </cell>
          <cell r="H221">
            <v>1</v>
          </cell>
        </row>
        <row r="222">
          <cell r="A222">
            <v>160040012</v>
          </cell>
          <cell r="B222" t="str">
            <v>精工铁锤</v>
          </cell>
          <cell r="C222" t="str">
            <v>工具耗材</v>
          </cell>
          <cell r="D222">
            <v>2</v>
          </cell>
          <cell r="E222">
            <v>60</v>
          </cell>
          <cell r="F222">
            <v>4</v>
          </cell>
          <cell r="G222">
            <v>1</v>
          </cell>
          <cell r="H222">
            <v>2</v>
          </cell>
        </row>
        <row r="223">
          <cell r="A223">
            <v>160040013</v>
          </cell>
          <cell r="B223" t="str">
            <v>魔法坩埚</v>
          </cell>
          <cell r="C223" t="str">
            <v>工具耗材</v>
          </cell>
          <cell r="D223">
            <v>2</v>
          </cell>
          <cell r="E223">
            <v>60</v>
          </cell>
          <cell r="F223">
            <v>4</v>
          </cell>
          <cell r="G223">
            <v>1</v>
          </cell>
          <cell r="H223">
            <v>2</v>
          </cell>
        </row>
        <row r="224">
          <cell r="A224">
            <v>160040014</v>
          </cell>
          <cell r="B224" t="str">
            <v>石质研钵</v>
          </cell>
          <cell r="C224" t="str">
            <v>工具耗材</v>
          </cell>
          <cell r="D224">
            <v>2</v>
          </cell>
          <cell r="E224">
            <v>60</v>
          </cell>
          <cell r="F224">
            <v>4</v>
          </cell>
          <cell r="G224">
            <v>1</v>
          </cell>
          <cell r="H224">
            <v>1</v>
          </cell>
        </row>
        <row r="225">
          <cell r="A225">
            <v>160040015</v>
          </cell>
          <cell r="B225" t="str">
            <v>火药</v>
          </cell>
          <cell r="C225" t="str">
            <v>工具耗材</v>
          </cell>
          <cell r="D225">
            <v>2</v>
          </cell>
          <cell r="E225">
            <v>60</v>
          </cell>
          <cell r="F225">
            <v>4</v>
          </cell>
          <cell r="G225">
            <v>1</v>
          </cell>
          <cell r="H225">
            <v>1</v>
          </cell>
        </row>
        <row r="226">
          <cell r="A226">
            <v>160040016</v>
          </cell>
          <cell r="B226" t="str">
            <v>备用零件包</v>
          </cell>
          <cell r="C226" t="str">
            <v>工具耗材</v>
          </cell>
          <cell r="D226">
            <v>2</v>
          </cell>
          <cell r="E226">
            <v>60</v>
          </cell>
          <cell r="F226">
            <v>4</v>
          </cell>
          <cell r="G226">
            <v>2</v>
          </cell>
          <cell r="H226">
            <v>2</v>
          </cell>
        </row>
        <row r="227">
          <cell r="A227">
            <v>160040017</v>
          </cell>
          <cell r="B227" t="str">
            <v>齿轮</v>
          </cell>
          <cell r="C227" t="str">
            <v>工具耗材</v>
          </cell>
          <cell r="D227">
            <v>2</v>
          </cell>
          <cell r="E227">
            <v>60</v>
          </cell>
          <cell r="F227">
            <v>4</v>
          </cell>
          <cell r="G227">
            <v>1</v>
          </cell>
          <cell r="H227">
            <v>1</v>
          </cell>
        </row>
        <row r="228">
          <cell r="A228">
            <v>160040018</v>
          </cell>
          <cell r="B228" t="str">
            <v>绑带</v>
          </cell>
          <cell r="C228" t="str">
            <v>工具耗材</v>
          </cell>
          <cell r="D228">
            <v>2</v>
          </cell>
          <cell r="E228">
            <v>60</v>
          </cell>
          <cell r="F228">
            <v>4</v>
          </cell>
          <cell r="G228">
            <v>1</v>
          </cell>
          <cell r="H228">
            <v>2</v>
          </cell>
        </row>
        <row r="229">
          <cell r="A229">
            <v>160040019</v>
          </cell>
          <cell r="B229" t="str">
            <v>工具修复包</v>
          </cell>
          <cell r="C229" t="str">
            <v>工具耗材</v>
          </cell>
          <cell r="D229">
            <v>2</v>
          </cell>
          <cell r="E229">
            <v>60</v>
          </cell>
          <cell r="F229">
            <v>4</v>
          </cell>
          <cell r="G229">
            <v>2</v>
          </cell>
          <cell r="H229">
            <v>2</v>
          </cell>
        </row>
        <row r="230">
          <cell r="A230">
            <v>160040020</v>
          </cell>
          <cell r="B230" t="str">
            <v>木柄锤</v>
          </cell>
          <cell r="C230" t="str">
            <v>工具耗材</v>
          </cell>
          <cell r="D230">
            <v>2</v>
          </cell>
          <cell r="E230">
            <v>60</v>
          </cell>
          <cell r="F230">
            <v>4</v>
          </cell>
          <cell r="G230">
            <v>1</v>
          </cell>
          <cell r="H230">
            <v>2</v>
          </cell>
        </row>
        <row r="231">
          <cell r="A231">
            <v>160040021</v>
          </cell>
          <cell r="B231" t="str">
            <v>熔锅</v>
          </cell>
          <cell r="C231" t="str">
            <v>工具耗材</v>
          </cell>
          <cell r="D231">
            <v>2</v>
          </cell>
          <cell r="E231">
            <v>60</v>
          </cell>
          <cell r="F231">
            <v>4</v>
          </cell>
          <cell r="G231">
            <v>2</v>
          </cell>
          <cell r="H231">
            <v>1</v>
          </cell>
        </row>
        <row r="232">
          <cell r="A232">
            <v>160040022</v>
          </cell>
          <cell r="B232" t="str">
            <v>铆针</v>
          </cell>
          <cell r="C232" t="str">
            <v>工具耗材</v>
          </cell>
          <cell r="D232">
            <v>2</v>
          </cell>
          <cell r="E232">
            <v>60</v>
          </cell>
          <cell r="F232">
            <v>4</v>
          </cell>
          <cell r="G232">
            <v>1</v>
          </cell>
          <cell r="H232">
            <v>1</v>
          </cell>
        </row>
        <row r="233">
          <cell r="A233">
            <v>160040023</v>
          </cell>
          <cell r="B233" t="str">
            <v>炼金羽毛笔</v>
          </cell>
          <cell r="C233" t="str">
            <v>工具耗材</v>
          </cell>
          <cell r="D233">
            <v>2</v>
          </cell>
          <cell r="E233">
            <v>60</v>
          </cell>
          <cell r="F233">
            <v>4</v>
          </cell>
          <cell r="G233">
            <v>1</v>
          </cell>
          <cell r="H233">
            <v>2</v>
          </cell>
        </row>
        <row r="234">
          <cell r="A234">
            <v>160040024</v>
          </cell>
          <cell r="B234" t="str">
            <v>魔力探针</v>
          </cell>
          <cell r="C234" t="str">
            <v>工具耗材</v>
          </cell>
          <cell r="D234">
            <v>2</v>
          </cell>
          <cell r="E234">
            <v>60</v>
          </cell>
          <cell r="F234">
            <v>4</v>
          </cell>
          <cell r="G234">
            <v>1</v>
          </cell>
          <cell r="H234">
            <v>1</v>
          </cell>
        </row>
        <row r="235">
          <cell r="A235">
            <v>160040025</v>
          </cell>
          <cell r="B235" t="str">
            <v>钢束扣</v>
          </cell>
          <cell r="C235" t="str">
            <v>工具耗材</v>
          </cell>
          <cell r="D235">
            <v>2</v>
          </cell>
          <cell r="E235">
            <v>60</v>
          </cell>
          <cell r="F235">
            <v>4</v>
          </cell>
          <cell r="G235">
            <v>1</v>
          </cell>
          <cell r="H235">
            <v>1</v>
          </cell>
        </row>
        <row r="236">
          <cell r="A236">
            <v>160040026</v>
          </cell>
          <cell r="B236" t="str">
            <v>钢钉</v>
          </cell>
          <cell r="C236" t="str">
            <v>工具耗材</v>
          </cell>
          <cell r="D236">
            <v>2</v>
          </cell>
          <cell r="E236">
            <v>60</v>
          </cell>
          <cell r="F236">
            <v>4</v>
          </cell>
          <cell r="G236">
            <v>1</v>
          </cell>
          <cell r="H236">
            <v>1</v>
          </cell>
        </row>
        <row r="237">
          <cell r="A237">
            <v>160040027</v>
          </cell>
          <cell r="B237" t="str">
            <v>材料包</v>
          </cell>
          <cell r="C237" t="str">
            <v>工具耗材</v>
          </cell>
          <cell r="D237">
            <v>2</v>
          </cell>
          <cell r="E237">
            <v>60</v>
          </cell>
          <cell r="F237">
            <v>4</v>
          </cell>
          <cell r="G237">
            <v>2</v>
          </cell>
          <cell r="H237">
            <v>1</v>
          </cell>
        </row>
        <row r="238">
          <cell r="A238">
            <v>160040028</v>
          </cell>
          <cell r="B238" t="str">
            <v>熟铁盔壳</v>
          </cell>
          <cell r="C238" t="str">
            <v>工具耗材</v>
          </cell>
          <cell r="D238">
            <v>2</v>
          </cell>
          <cell r="E238">
            <v>60</v>
          </cell>
          <cell r="F238">
            <v>4</v>
          </cell>
          <cell r="G238">
            <v>2</v>
          </cell>
          <cell r="H238">
            <v>1</v>
          </cell>
        </row>
        <row r="239">
          <cell r="A239">
            <v>160040029</v>
          </cell>
          <cell r="B239" t="str">
            <v>熟铁镶框</v>
          </cell>
          <cell r="C239" t="str">
            <v>工具耗材</v>
          </cell>
          <cell r="D239">
            <v>2</v>
          </cell>
          <cell r="E239">
            <v>60</v>
          </cell>
          <cell r="F239">
            <v>4</v>
          </cell>
          <cell r="G239">
            <v>2</v>
          </cell>
          <cell r="H239">
            <v>1</v>
          </cell>
        </row>
        <row r="240">
          <cell r="A240">
            <v>160040030</v>
          </cell>
          <cell r="B240" t="str">
            <v>熟铁甲板</v>
          </cell>
          <cell r="C240" t="str">
            <v>工具耗材</v>
          </cell>
          <cell r="D240">
            <v>2</v>
          </cell>
          <cell r="E240">
            <v>60</v>
          </cell>
          <cell r="F240">
            <v>4</v>
          </cell>
          <cell r="G240">
            <v>2</v>
          </cell>
          <cell r="H240">
            <v>2</v>
          </cell>
        </row>
        <row r="241">
          <cell r="A241">
            <v>160040031</v>
          </cell>
          <cell r="B241" t="str">
            <v>燃料包</v>
          </cell>
          <cell r="C241" t="str">
            <v>工具耗材</v>
          </cell>
          <cell r="D241">
            <v>2</v>
          </cell>
          <cell r="E241">
            <v>60</v>
          </cell>
          <cell r="F241">
            <v>4</v>
          </cell>
          <cell r="G241">
            <v>1</v>
          </cell>
          <cell r="H241">
            <v>1</v>
          </cell>
        </row>
        <row r="242">
          <cell r="A242">
            <v>160040032</v>
          </cell>
          <cell r="B242" t="str">
            <v>铁钉</v>
          </cell>
          <cell r="C242" t="str">
            <v>工具耗材</v>
          </cell>
          <cell r="D242">
            <v>2</v>
          </cell>
          <cell r="E242">
            <v>60</v>
          </cell>
          <cell r="F242">
            <v>4</v>
          </cell>
          <cell r="G242">
            <v>1</v>
          </cell>
          <cell r="H242">
            <v>1</v>
          </cell>
        </row>
        <row r="243">
          <cell r="A243">
            <v>160040033</v>
          </cell>
          <cell r="B243" t="str">
            <v>低级能量瓶</v>
          </cell>
          <cell r="C243" t="str">
            <v>工具耗材</v>
          </cell>
          <cell r="D243">
            <v>2</v>
          </cell>
          <cell r="E243">
            <v>60</v>
          </cell>
          <cell r="F243">
            <v>4</v>
          </cell>
          <cell r="G243">
            <v>1</v>
          </cell>
          <cell r="H243">
            <v>2</v>
          </cell>
        </row>
        <row r="244">
          <cell r="A244">
            <v>160040034</v>
          </cell>
          <cell r="B244" t="str">
            <v>裁布剪</v>
          </cell>
          <cell r="C244" t="str">
            <v>工具耗材</v>
          </cell>
          <cell r="D244">
            <v>2</v>
          </cell>
          <cell r="E244">
            <v>60</v>
          </cell>
          <cell r="F244">
            <v>4</v>
          </cell>
          <cell r="G244">
            <v>1</v>
          </cell>
          <cell r="H244">
            <v>1</v>
          </cell>
        </row>
        <row r="245">
          <cell r="A245">
            <v>160040035</v>
          </cell>
          <cell r="B245" t="str">
            <v>水晶研钵</v>
          </cell>
          <cell r="C245" t="str">
            <v>工具耗材</v>
          </cell>
          <cell r="D245">
            <v>2</v>
          </cell>
          <cell r="E245">
            <v>60</v>
          </cell>
          <cell r="F245">
            <v>4</v>
          </cell>
          <cell r="G245">
            <v>2</v>
          </cell>
          <cell r="H245">
            <v>2</v>
          </cell>
        </row>
        <row r="246">
          <cell r="A246">
            <v>160040036</v>
          </cell>
          <cell r="B246" t="str">
            <v>机械核心</v>
          </cell>
          <cell r="C246" t="str">
            <v>工具耗材</v>
          </cell>
          <cell r="D246">
            <v>2</v>
          </cell>
          <cell r="E246">
            <v>60</v>
          </cell>
          <cell r="F246">
            <v>4</v>
          </cell>
          <cell r="G246">
            <v>1</v>
          </cell>
          <cell r="H246">
            <v>1</v>
          </cell>
        </row>
        <row r="247">
          <cell r="A247">
            <v>160040037</v>
          </cell>
          <cell r="B247" t="str">
            <v>铁匠锤</v>
          </cell>
          <cell r="C247" t="str">
            <v>工具耗材</v>
          </cell>
          <cell r="D247">
            <v>2</v>
          </cell>
          <cell r="E247">
            <v>60</v>
          </cell>
          <cell r="F247">
            <v>4</v>
          </cell>
          <cell r="G247">
            <v>1</v>
          </cell>
          <cell r="H247">
            <v>2</v>
          </cell>
        </row>
        <row r="248">
          <cell r="A248">
            <v>160040038</v>
          </cell>
          <cell r="B248" t="str">
            <v>小型熔炉</v>
          </cell>
          <cell r="C248" t="str">
            <v>工具耗材</v>
          </cell>
          <cell r="D248">
            <v>2</v>
          </cell>
          <cell r="E248">
            <v>60</v>
          </cell>
          <cell r="F248">
            <v>4</v>
          </cell>
          <cell r="G248">
            <v>2</v>
          </cell>
          <cell r="H248">
            <v>2</v>
          </cell>
        </row>
        <row r="249">
          <cell r="A249">
            <v>160040039</v>
          </cell>
          <cell r="B249" t="str">
            <v>符文绘刻笔</v>
          </cell>
          <cell r="C249" t="str">
            <v>工具耗材</v>
          </cell>
          <cell r="D249">
            <v>2</v>
          </cell>
          <cell r="E249">
            <v>60</v>
          </cell>
          <cell r="F249">
            <v>4</v>
          </cell>
          <cell r="G249">
            <v>1</v>
          </cell>
          <cell r="H249">
            <v>2</v>
          </cell>
        </row>
        <row r="250">
          <cell r="A250">
            <v>160040040</v>
          </cell>
          <cell r="B250" t="str">
            <v>精钢盔壳</v>
          </cell>
          <cell r="C250" t="str">
            <v>工具耗材</v>
          </cell>
          <cell r="D250">
            <v>2</v>
          </cell>
          <cell r="E250">
            <v>60</v>
          </cell>
          <cell r="F250">
            <v>4</v>
          </cell>
          <cell r="G250">
            <v>2</v>
          </cell>
          <cell r="H250">
            <v>1</v>
          </cell>
        </row>
        <row r="251">
          <cell r="A251">
            <v>160040041</v>
          </cell>
          <cell r="B251" t="str">
            <v>精钢镶框</v>
          </cell>
          <cell r="C251" t="str">
            <v>工具耗材</v>
          </cell>
          <cell r="D251">
            <v>2</v>
          </cell>
          <cell r="E251">
            <v>60</v>
          </cell>
          <cell r="F251">
            <v>4</v>
          </cell>
          <cell r="G251">
            <v>1</v>
          </cell>
          <cell r="H251">
            <v>1</v>
          </cell>
        </row>
        <row r="252">
          <cell r="A252">
            <v>160040042</v>
          </cell>
          <cell r="B252" t="str">
            <v>精钢甲板</v>
          </cell>
          <cell r="C252" t="str">
            <v>工具耗材</v>
          </cell>
          <cell r="D252">
            <v>2</v>
          </cell>
          <cell r="E252">
            <v>60</v>
          </cell>
          <cell r="F252">
            <v>4</v>
          </cell>
          <cell r="G252">
            <v>2</v>
          </cell>
          <cell r="H252">
            <v>2</v>
          </cell>
        </row>
        <row r="253">
          <cell r="A253">
            <v>160040043</v>
          </cell>
          <cell r="B253" t="str">
            <v>工具箱</v>
          </cell>
          <cell r="C253" t="str">
            <v>工具耗材</v>
          </cell>
          <cell r="D253">
            <v>2</v>
          </cell>
          <cell r="E253">
            <v>60</v>
          </cell>
          <cell r="F253">
            <v>4</v>
          </cell>
          <cell r="G253">
            <v>2</v>
          </cell>
          <cell r="H253">
            <v>2</v>
          </cell>
        </row>
        <row r="254">
          <cell r="A254">
            <v>160040044</v>
          </cell>
          <cell r="B254" t="str">
            <v>魔导校准器</v>
          </cell>
          <cell r="C254" t="str">
            <v>工具耗材</v>
          </cell>
          <cell r="D254">
            <v>2</v>
          </cell>
          <cell r="E254">
            <v>60</v>
          </cell>
          <cell r="F254">
            <v>4</v>
          </cell>
          <cell r="G254">
            <v>2</v>
          </cell>
          <cell r="H254">
            <v>1</v>
          </cell>
        </row>
        <row r="255">
          <cell r="A255">
            <v>160040045</v>
          </cell>
          <cell r="B255" t="str">
            <v>缠丝骨针</v>
          </cell>
          <cell r="C255" t="str">
            <v>工具耗材</v>
          </cell>
          <cell r="D255">
            <v>2</v>
          </cell>
          <cell r="E255">
            <v>60</v>
          </cell>
          <cell r="F255">
            <v>4</v>
          </cell>
          <cell r="G255">
            <v>1</v>
          </cell>
          <cell r="H255">
            <v>1</v>
          </cell>
        </row>
        <row r="256">
          <cell r="A256">
            <v>160040046</v>
          </cell>
          <cell r="B256" t="str">
            <v>导管</v>
          </cell>
          <cell r="C256" t="str">
            <v>工具耗材</v>
          </cell>
          <cell r="D256">
            <v>2</v>
          </cell>
          <cell r="E256">
            <v>60</v>
          </cell>
          <cell r="F256">
            <v>4</v>
          </cell>
          <cell r="G256">
            <v>1</v>
          </cell>
          <cell r="H256">
            <v>2</v>
          </cell>
        </row>
        <row r="257">
          <cell r="A257">
            <v>160040047</v>
          </cell>
          <cell r="B257" t="str">
            <v>偏振水银</v>
          </cell>
          <cell r="C257" t="str">
            <v>工具耗材</v>
          </cell>
          <cell r="D257">
            <v>2</v>
          </cell>
          <cell r="E257">
            <v>60</v>
          </cell>
          <cell r="F257">
            <v>4</v>
          </cell>
          <cell r="G257">
            <v>1</v>
          </cell>
          <cell r="H257">
            <v>1</v>
          </cell>
        </row>
        <row r="258">
          <cell r="A258">
            <v>160040048</v>
          </cell>
          <cell r="B258" t="str">
            <v>小型能量石</v>
          </cell>
          <cell r="C258" t="str">
            <v>工具耗材</v>
          </cell>
          <cell r="D258">
            <v>2</v>
          </cell>
          <cell r="E258">
            <v>60</v>
          </cell>
          <cell r="F258">
            <v>4</v>
          </cell>
          <cell r="G258">
            <v>1</v>
          </cell>
          <cell r="H258">
            <v>1</v>
          </cell>
        </row>
        <row r="259">
          <cell r="A259">
            <v>160040049</v>
          </cell>
          <cell r="B259" t="str">
            <v>燃料块</v>
          </cell>
          <cell r="C259" t="str">
            <v>工具耗材</v>
          </cell>
          <cell r="D259">
            <v>2</v>
          </cell>
          <cell r="E259">
            <v>60</v>
          </cell>
          <cell r="F259">
            <v>4</v>
          </cell>
          <cell r="G259">
            <v>1</v>
          </cell>
          <cell r="H259">
            <v>1</v>
          </cell>
        </row>
        <row r="260">
          <cell r="A260">
            <v>160040050</v>
          </cell>
          <cell r="B260" t="str">
            <v>冷却液</v>
          </cell>
          <cell r="C260" t="str">
            <v>工具耗材</v>
          </cell>
          <cell r="D260">
            <v>2</v>
          </cell>
          <cell r="E260">
            <v>60</v>
          </cell>
          <cell r="F260">
            <v>4</v>
          </cell>
          <cell r="G260">
            <v>1</v>
          </cell>
          <cell r="H260">
            <v>1</v>
          </cell>
        </row>
        <row r="261">
          <cell r="A261">
            <v>160040051</v>
          </cell>
          <cell r="B261" t="str">
            <v>炼金粉</v>
          </cell>
          <cell r="C261" t="str">
            <v>工具耗材</v>
          </cell>
          <cell r="D261">
            <v>2</v>
          </cell>
          <cell r="E261">
            <v>60</v>
          </cell>
          <cell r="F261">
            <v>4</v>
          </cell>
          <cell r="G261">
            <v>1</v>
          </cell>
          <cell r="H261">
            <v>1</v>
          </cell>
        </row>
        <row r="262">
          <cell r="A262">
            <v>160040052</v>
          </cell>
          <cell r="B262" t="str">
            <v>炼金烧瓶</v>
          </cell>
          <cell r="C262" t="str">
            <v>工具耗材</v>
          </cell>
          <cell r="D262">
            <v>2</v>
          </cell>
          <cell r="E262">
            <v>60</v>
          </cell>
          <cell r="F262">
            <v>4</v>
          </cell>
          <cell r="G262">
            <v>1</v>
          </cell>
          <cell r="H262">
            <v>2</v>
          </cell>
        </row>
        <row r="263">
          <cell r="A263">
            <v>160040053</v>
          </cell>
          <cell r="B263" t="str">
            <v>重型锻造锤</v>
          </cell>
          <cell r="C263" t="str">
            <v>工具耗材</v>
          </cell>
          <cell r="D263">
            <v>2</v>
          </cell>
          <cell r="E263">
            <v>60</v>
          </cell>
          <cell r="F263">
            <v>4</v>
          </cell>
          <cell r="G263">
            <v>1</v>
          </cell>
          <cell r="H263">
            <v>2</v>
          </cell>
        </row>
        <row r="264">
          <cell r="A264">
            <v>160040054</v>
          </cell>
          <cell r="B264" t="str">
            <v>细工刻刀</v>
          </cell>
          <cell r="C264" t="str">
            <v>工具耗材</v>
          </cell>
          <cell r="D264">
            <v>2</v>
          </cell>
          <cell r="E264">
            <v>60</v>
          </cell>
          <cell r="F264">
            <v>4</v>
          </cell>
          <cell r="G264">
            <v>1</v>
          </cell>
          <cell r="H264">
            <v>1</v>
          </cell>
        </row>
        <row r="265">
          <cell r="A265">
            <v>160040055</v>
          </cell>
          <cell r="B265" t="str">
            <v>附魔缝纫针</v>
          </cell>
          <cell r="C265" t="str">
            <v>工具耗材</v>
          </cell>
          <cell r="D265">
            <v>2</v>
          </cell>
          <cell r="E265">
            <v>60</v>
          </cell>
          <cell r="F265">
            <v>4</v>
          </cell>
          <cell r="G265">
            <v>1</v>
          </cell>
          <cell r="H265">
            <v>2</v>
          </cell>
        </row>
        <row r="266">
          <cell r="A266">
            <v>160040056</v>
          </cell>
          <cell r="B266" t="str">
            <v>稳定晶片</v>
          </cell>
          <cell r="C266" t="str">
            <v>工具耗材</v>
          </cell>
          <cell r="D266">
            <v>2</v>
          </cell>
          <cell r="E266">
            <v>60</v>
          </cell>
          <cell r="F266">
            <v>4</v>
          </cell>
          <cell r="G266">
            <v>1</v>
          </cell>
          <cell r="H266">
            <v>1</v>
          </cell>
        </row>
        <row r="267">
          <cell r="A267">
            <v>160040057</v>
          </cell>
          <cell r="B267" t="str">
            <v>秘银盔壳</v>
          </cell>
          <cell r="C267" t="str">
            <v>工具耗材</v>
          </cell>
          <cell r="D267">
            <v>2</v>
          </cell>
          <cell r="E267">
            <v>60</v>
          </cell>
          <cell r="F267">
            <v>4</v>
          </cell>
          <cell r="G267">
            <v>2</v>
          </cell>
          <cell r="H267">
            <v>1</v>
          </cell>
        </row>
        <row r="268">
          <cell r="A268">
            <v>160040058</v>
          </cell>
          <cell r="B268" t="str">
            <v>秘银镶框</v>
          </cell>
          <cell r="C268" t="str">
            <v>工具耗材</v>
          </cell>
          <cell r="D268">
            <v>2</v>
          </cell>
          <cell r="E268">
            <v>60</v>
          </cell>
          <cell r="F268">
            <v>4</v>
          </cell>
          <cell r="G268">
            <v>2</v>
          </cell>
          <cell r="H268">
            <v>1</v>
          </cell>
        </row>
        <row r="269">
          <cell r="A269">
            <v>160040059</v>
          </cell>
          <cell r="B269" t="str">
            <v>秘银甲板</v>
          </cell>
          <cell r="C269" t="str">
            <v>工具耗材</v>
          </cell>
          <cell r="D269">
            <v>2</v>
          </cell>
          <cell r="E269">
            <v>60</v>
          </cell>
          <cell r="F269">
            <v>4</v>
          </cell>
          <cell r="G269">
            <v>2</v>
          </cell>
          <cell r="H269">
            <v>2</v>
          </cell>
        </row>
        <row r="270">
          <cell r="A270">
            <v>160040060</v>
          </cell>
          <cell r="B270" t="str">
            <v>法阵绘制仪</v>
          </cell>
          <cell r="C270" t="str">
            <v>工具耗材</v>
          </cell>
          <cell r="D270">
            <v>2</v>
          </cell>
          <cell r="E270">
            <v>60</v>
          </cell>
          <cell r="F270">
            <v>4</v>
          </cell>
          <cell r="G270">
            <v>2</v>
          </cell>
          <cell r="H270">
            <v>1</v>
          </cell>
        </row>
        <row r="271">
          <cell r="A271">
            <v>160040061</v>
          </cell>
          <cell r="B271" t="str">
            <v>炼金反应瓶</v>
          </cell>
          <cell r="C271" t="str">
            <v>工具耗材</v>
          </cell>
          <cell r="D271">
            <v>2</v>
          </cell>
          <cell r="E271">
            <v>60</v>
          </cell>
          <cell r="F271">
            <v>4</v>
          </cell>
          <cell r="G271">
            <v>2</v>
          </cell>
          <cell r="H271">
            <v>2</v>
          </cell>
        </row>
        <row r="272">
          <cell r="A272">
            <v>160040062</v>
          </cell>
          <cell r="B272" t="str">
            <v>元素分离器</v>
          </cell>
          <cell r="C272" t="str">
            <v>工具耗材</v>
          </cell>
          <cell r="D272">
            <v>2</v>
          </cell>
          <cell r="E272">
            <v>60</v>
          </cell>
          <cell r="F272">
            <v>4</v>
          </cell>
          <cell r="G272">
            <v>2</v>
          </cell>
          <cell r="H272">
            <v>2</v>
          </cell>
        </row>
        <row r="273">
          <cell r="A273">
            <v>160040063</v>
          </cell>
          <cell r="B273" t="str">
            <v>魔力刻度尺</v>
          </cell>
          <cell r="C273" t="str">
            <v>工具耗材</v>
          </cell>
          <cell r="D273">
            <v>2</v>
          </cell>
          <cell r="E273">
            <v>60</v>
          </cell>
          <cell r="F273">
            <v>4</v>
          </cell>
          <cell r="G273">
            <v>1</v>
          </cell>
          <cell r="H273">
            <v>1</v>
          </cell>
        </row>
        <row r="274">
          <cell r="A274">
            <v>160040064</v>
          </cell>
          <cell r="B274" t="str">
            <v>结构测绘仪</v>
          </cell>
          <cell r="C274" t="str">
            <v>工具耗材</v>
          </cell>
          <cell r="D274">
            <v>2</v>
          </cell>
          <cell r="E274">
            <v>60</v>
          </cell>
          <cell r="F274">
            <v>4</v>
          </cell>
          <cell r="G274">
            <v>2</v>
          </cell>
          <cell r="H274">
            <v>1</v>
          </cell>
        </row>
        <row r="275">
          <cell r="A275">
            <v>160040065</v>
          </cell>
          <cell r="B275" t="str">
            <v>魔导齿轮组</v>
          </cell>
          <cell r="C275" t="str">
            <v>工具耗材</v>
          </cell>
          <cell r="D275">
            <v>2</v>
          </cell>
          <cell r="E275">
            <v>60</v>
          </cell>
          <cell r="F275">
            <v>4</v>
          </cell>
          <cell r="G275">
            <v>2</v>
          </cell>
          <cell r="H275">
            <v>2</v>
          </cell>
        </row>
        <row r="276">
          <cell r="A276">
            <v>160040066</v>
          </cell>
          <cell r="B276" t="str">
            <v>符文核心片</v>
          </cell>
          <cell r="C276" t="str">
            <v>工具耗材</v>
          </cell>
          <cell r="D276">
            <v>2</v>
          </cell>
          <cell r="E276">
            <v>60</v>
          </cell>
          <cell r="F276">
            <v>4</v>
          </cell>
          <cell r="G276">
            <v>1</v>
          </cell>
          <cell r="H276">
            <v>1</v>
          </cell>
        </row>
        <row r="277">
          <cell r="A277">
            <v>160040067</v>
          </cell>
          <cell r="B277" t="str">
            <v>偏振幽晶</v>
          </cell>
          <cell r="C277" t="str">
            <v>工具耗材</v>
          </cell>
          <cell r="D277">
            <v>2</v>
          </cell>
          <cell r="E277">
            <v>60</v>
          </cell>
          <cell r="F277">
            <v>4</v>
          </cell>
          <cell r="G277">
            <v>1</v>
          </cell>
          <cell r="H277">
            <v>1</v>
          </cell>
        </row>
        <row r="278">
          <cell r="A278">
            <v>160040068</v>
          </cell>
          <cell r="B278" t="str">
            <v>中型能量瓶</v>
          </cell>
          <cell r="C278" t="str">
            <v>工具耗材</v>
          </cell>
          <cell r="D278">
            <v>2</v>
          </cell>
          <cell r="E278">
            <v>60</v>
          </cell>
          <cell r="F278">
            <v>4</v>
          </cell>
          <cell r="G278">
            <v>2</v>
          </cell>
          <cell r="H278">
            <v>2</v>
          </cell>
        </row>
        <row r="279">
          <cell r="A279">
            <v>160040069</v>
          </cell>
          <cell r="B279" t="str">
            <v>炼金催化剂</v>
          </cell>
          <cell r="C279" t="str">
            <v>工具耗材</v>
          </cell>
          <cell r="D279">
            <v>2</v>
          </cell>
          <cell r="E279">
            <v>60</v>
          </cell>
          <cell r="F279">
            <v>4</v>
          </cell>
          <cell r="G279">
            <v>1</v>
          </cell>
          <cell r="H279">
            <v>1</v>
          </cell>
        </row>
        <row r="280">
          <cell r="A280">
            <v>160040070</v>
          </cell>
          <cell r="B280" t="str">
            <v>符文锻造台</v>
          </cell>
          <cell r="C280" t="str">
            <v>工具耗材</v>
          </cell>
          <cell r="D280">
            <v>2</v>
          </cell>
          <cell r="E280">
            <v>60</v>
          </cell>
          <cell r="F280">
            <v>4</v>
          </cell>
          <cell r="G280">
            <v>2</v>
          </cell>
          <cell r="H280">
            <v>2</v>
          </cell>
        </row>
        <row r="281">
          <cell r="A281">
            <v>160040071</v>
          </cell>
          <cell r="B281" t="str">
            <v>秘银缝纫机</v>
          </cell>
          <cell r="C281" t="str">
            <v>工具耗材</v>
          </cell>
          <cell r="D281">
            <v>2</v>
          </cell>
          <cell r="E281">
            <v>60</v>
          </cell>
          <cell r="F281">
            <v>4</v>
          </cell>
          <cell r="G281">
            <v>2</v>
          </cell>
          <cell r="H281">
            <v>2</v>
          </cell>
        </row>
        <row r="282">
          <cell r="A282">
            <v>160040072</v>
          </cell>
          <cell r="B282" t="str">
            <v>元素探测罗盘</v>
          </cell>
          <cell r="C282" t="str">
            <v>工具耗材</v>
          </cell>
          <cell r="D282">
            <v>2</v>
          </cell>
          <cell r="E282">
            <v>60</v>
          </cell>
          <cell r="F282">
            <v>4</v>
          </cell>
          <cell r="G282">
            <v>1</v>
          </cell>
          <cell r="H282">
            <v>1</v>
          </cell>
        </row>
        <row r="283">
          <cell r="A283">
            <v>160040073</v>
          </cell>
          <cell r="B283" t="str">
            <v>魔导能量调节器</v>
          </cell>
          <cell r="C283" t="str">
            <v>工具耗材</v>
          </cell>
          <cell r="D283">
            <v>2</v>
          </cell>
          <cell r="E283">
            <v>60</v>
          </cell>
          <cell r="F283">
            <v>4</v>
          </cell>
          <cell r="G283">
            <v>2</v>
          </cell>
          <cell r="H283">
            <v>1</v>
          </cell>
        </row>
        <row r="284">
          <cell r="A284">
            <v>160040074</v>
          </cell>
          <cell r="B284" t="str">
            <v>炼金蒸馏组</v>
          </cell>
          <cell r="C284" t="str">
            <v>工具耗材</v>
          </cell>
          <cell r="D284">
            <v>2</v>
          </cell>
          <cell r="E284">
            <v>60</v>
          </cell>
          <cell r="F284">
            <v>4</v>
          </cell>
          <cell r="G284">
            <v>2</v>
          </cell>
          <cell r="H284">
            <v>2</v>
          </cell>
        </row>
        <row r="285">
          <cell r="A285">
            <v>160040075</v>
          </cell>
          <cell r="B285" t="str">
            <v>精密天平仪</v>
          </cell>
          <cell r="C285" t="str">
            <v>工具耗材</v>
          </cell>
          <cell r="D285">
            <v>2</v>
          </cell>
          <cell r="E285">
            <v>60</v>
          </cell>
          <cell r="F285">
            <v>4</v>
          </cell>
          <cell r="G285">
            <v>1</v>
          </cell>
          <cell r="H285">
            <v>1</v>
          </cell>
        </row>
        <row r="286">
          <cell r="A286">
            <v>160040076</v>
          </cell>
          <cell r="B286" t="str">
            <v>符文刻印器</v>
          </cell>
          <cell r="C286" t="str">
            <v>工具耗材</v>
          </cell>
          <cell r="D286">
            <v>2</v>
          </cell>
          <cell r="E286">
            <v>60</v>
          </cell>
          <cell r="F286">
            <v>4</v>
          </cell>
          <cell r="G286">
            <v>1</v>
          </cell>
          <cell r="H286">
            <v>2</v>
          </cell>
        </row>
        <row r="287">
          <cell r="A287">
            <v>160040077</v>
          </cell>
          <cell r="B287" t="str">
            <v>魔力导线组</v>
          </cell>
          <cell r="C287" t="str">
            <v>工具耗材</v>
          </cell>
          <cell r="D287">
            <v>2</v>
          </cell>
          <cell r="E287">
            <v>60</v>
          </cell>
          <cell r="F287">
            <v>4</v>
          </cell>
          <cell r="G287">
            <v>1</v>
          </cell>
          <cell r="H287">
            <v>2</v>
          </cell>
        </row>
        <row r="288">
          <cell r="A288">
            <v>160040078</v>
          </cell>
          <cell r="B288" t="str">
            <v>高阶能量结晶</v>
          </cell>
          <cell r="C288" t="str">
            <v>工具耗材</v>
          </cell>
          <cell r="D288">
            <v>2</v>
          </cell>
          <cell r="E288">
            <v>60</v>
          </cell>
          <cell r="F288">
            <v>4</v>
          </cell>
          <cell r="G288">
            <v>3</v>
          </cell>
          <cell r="H288">
            <v>2</v>
          </cell>
        </row>
        <row r="289">
          <cell r="A289">
            <v>160040079</v>
          </cell>
          <cell r="B289" t="str">
            <v>龙心熔铸炉</v>
          </cell>
          <cell r="C289" t="str">
            <v>工具耗材</v>
          </cell>
          <cell r="D289">
            <v>2</v>
          </cell>
          <cell r="E289">
            <v>60</v>
          </cell>
          <cell r="F289">
            <v>4</v>
          </cell>
          <cell r="G289">
            <v>3</v>
          </cell>
          <cell r="H289">
            <v>4</v>
          </cell>
        </row>
        <row r="290">
          <cell r="A290">
            <v>160040080</v>
          </cell>
          <cell r="B290" t="str">
            <v>时序观星仪</v>
          </cell>
          <cell r="C290" t="str">
            <v>工具耗材</v>
          </cell>
          <cell r="D290">
            <v>2</v>
          </cell>
          <cell r="E290">
            <v>60</v>
          </cell>
          <cell r="F290">
            <v>4</v>
          </cell>
          <cell r="G290">
            <v>3</v>
          </cell>
          <cell r="H290">
            <v>2</v>
          </cell>
        </row>
        <row r="291">
          <cell r="A291">
            <v>160040081</v>
          </cell>
          <cell r="B291" t="str">
            <v>原初魔导枢纽</v>
          </cell>
          <cell r="C291" t="str">
            <v>工具耗材</v>
          </cell>
          <cell r="D291">
            <v>2</v>
          </cell>
          <cell r="E291">
            <v>60</v>
          </cell>
          <cell r="F291">
            <v>4</v>
          </cell>
          <cell r="G291">
            <v>3</v>
          </cell>
          <cell r="H291">
            <v>3</v>
          </cell>
        </row>
        <row r="292">
          <cell r="A292">
            <v>160040082</v>
          </cell>
          <cell r="B292" t="str">
            <v>万象炼成器</v>
          </cell>
          <cell r="C292" t="str">
            <v>工具耗材</v>
          </cell>
          <cell r="D292">
            <v>2</v>
          </cell>
          <cell r="E292">
            <v>60</v>
          </cell>
          <cell r="F292">
            <v>4</v>
          </cell>
          <cell r="G292">
            <v>1</v>
          </cell>
          <cell r="H292">
            <v>1</v>
          </cell>
        </row>
        <row r="293">
          <cell r="A293">
            <v>160050001</v>
          </cell>
          <cell r="B293" t="str">
            <v>愚者之牌</v>
          </cell>
          <cell r="C293" t="str">
            <v>艺术古董</v>
          </cell>
          <cell r="D293">
            <v>2</v>
          </cell>
          <cell r="E293">
            <v>60</v>
          </cell>
          <cell r="F293">
            <v>5</v>
          </cell>
          <cell r="G293">
            <v>1</v>
          </cell>
          <cell r="H293">
            <v>1</v>
          </cell>
        </row>
        <row r="294">
          <cell r="A294">
            <v>160050002</v>
          </cell>
          <cell r="B294" t="str">
            <v>魔术师之牌</v>
          </cell>
          <cell r="C294" t="str">
            <v>艺术古董</v>
          </cell>
          <cell r="D294">
            <v>2</v>
          </cell>
          <cell r="E294">
            <v>60</v>
          </cell>
          <cell r="F294">
            <v>5</v>
          </cell>
          <cell r="G294">
            <v>1</v>
          </cell>
          <cell r="H294">
            <v>1</v>
          </cell>
        </row>
        <row r="295">
          <cell r="A295">
            <v>160050003</v>
          </cell>
          <cell r="B295" t="str">
            <v>女祭司之牌</v>
          </cell>
          <cell r="C295" t="str">
            <v>艺术古董</v>
          </cell>
          <cell r="D295">
            <v>2</v>
          </cell>
          <cell r="E295">
            <v>60</v>
          </cell>
          <cell r="F295">
            <v>5</v>
          </cell>
          <cell r="G295">
            <v>1</v>
          </cell>
          <cell r="H295">
            <v>1</v>
          </cell>
        </row>
        <row r="296">
          <cell r="A296">
            <v>160050004</v>
          </cell>
          <cell r="B296" t="str">
            <v>皇后之牌</v>
          </cell>
          <cell r="C296" t="str">
            <v>艺术古董</v>
          </cell>
          <cell r="D296">
            <v>2</v>
          </cell>
          <cell r="E296">
            <v>60</v>
          </cell>
          <cell r="F296">
            <v>5</v>
          </cell>
          <cell r="G296">
            <v>1</v>
          </cell>
          <cell r="H296">
            <v>1</v>
          </cell>
        </row>
        <row r="297">
          <cell r="A297">
            <v>160050005</v>
          </cell>
          <cell r="B297" t="str">
            <v>皇帝之牌</v>
          </cell>
          <cell r="C297" t="str">
            <v>艺术古董</v>
          </cell>
          <cell r="D297">
            <v>2</v>
          </cell>
          <cell r="E297">
            <v>60</v>
          </cell>
          <cell r="F297">
            <v>5</v>
          </cell>
          <cell r="G297">
            <v>1</v>
          </cell>
          <cell r="H297">
            <v>1</v>
          </cell>
        </row>
        <row r="298">
          <cell r="A298">
            <v>160050006</v>
          </cell>
          <cell r="B298" t="str">
            <v>教皇之牌</v>
          </cell>
          <cell r="C298" t="str">
            <v>艺术古董</v>
          </cell>
          <cell r="D298">
            <v>2</v>
          </cell>
          <cell r="E298">
            <v>60</v>
          </cell>
          <cell r="F298">
            <v>5</v>
          </cell>
          <cell r="G298">
            <v>1</v>
          </cell>
          <cell r="H298">
            <v>1</v>
          </cell>
        </row>
        <row r="299">
          <cell r="A299">
            <v>160050007</v>
          </cell>
          <cell r="B299" t="str">
            <v>恋人之牌</v>
          </cell>
          <cell r="C299" t="str">
            <v>艺术古董</v>
          </cell>
          <cell r="D299">
            <v>2</v>
          </cell>
          <cell r="E299">
            <v>60</v>
          </cell>
          <cell r="F299">
            <v>5</v>
          </cell>
          <cell r="G299">
            <v>1</v>
          </cell>
          <cell r="H299">
            <v>1</v>
          </cell>
        </row>
        <row r="300">
          <cell r="A300">
            <v>160050008</v>
          </cell>
          <cell r="B300" t="str">
            <v>战车之牌</v>
          </cell>
          <cell r="C300" t="str">
            <v>艺术古董</v>
          </cell>
          <cell r="D300">
            <v>2</v>
          </cell>
          <cell r="E300">
            <v>60</v>
          </cell>
          <cell r="F300">
            <v>5</v>
          </cell>
          <cell r="G300">
            <v>1</v>
          </cell>
          <cell r="H300">
            <v>1</v>
          </cell>
        </row>
        <row r="301">
          <cell r="A301">
            <v>160050009</v>
          </cell>
          <cell r="B301" t="str">
            <v>力量之牌</v>
          </cell>
          <cell r="C301" t="str">
            <v>艺术古董</v>
          </cell>
          <cell r="D301">
            <v>2</v>
          </cell>
          <cell r="E301">
            <v>60</v>
          </cell>
          <cell r="F301">
            <v>5</v>
          </cell>
          <cell r="G301">
            <v>1</v>
          </cell>
          <cell r="H301">
            <v>1</v>
          </cell>
        </row>
        <row r="302">
          <cell r="A302">
            <v>160050010</v>
          </cell>
          <cell r="B302" t="str">
            <v>隐者之牌</v>
          </cell>
          <cell r="C302" t="str">
            <v>艺术古董</v>
          </cell>
          <cell r="D302">
            <v>2</v>
          </cell>
          <cell r="E302">
            <v>60</v>
          </cell>
          <cell r="F302">
            <v>5</v>
          </cell>
          <cell r="G302">
            <v>1</v>
          </cell>
          <cell r="H302">
            <v>1</v>
          </cell>
        </row>
        <row r="303">
          <cell r="A303">
            <v>160050011</v>
          </cell>
          <cell r="B303" t="str">
            <v>命运之轮</v>
          </cell>
          <cell r="C303" t="str">
            <v>艺术古董</v>
          </cell>
          <cell r="D303">
            <v>2</v>
          </cell>
          <cell r="E303">
            <v>60</v>
          </cell>
          <cell r="F303">
            <v>5</v>
          </cell>
          <cell r="G303">
            <v>1</v>
          </cell>
          <cell r="H303">
            <v>1</v>
          </cell>
        </row>
        <row r="304">
          <cell r="A304">
            <v>160050012</v>
          </cell>
          <cell r="B304" t="str">
            <v>正义之牌</v>
          </cell>
          <cell r="C304" t="str">
            <v>艺术古董</v>
          </cell>
          <cell r="D304">
            <v>2</v>
          </cell>
          <cell r="E304">
            <v>60</v>
          </cell>
          <cell r="F304">
            <v>5</v>
          </cell>
          <cell r="G304">
            <v>1</v>
          </cell>
          <cell r="H304">
            <v>1</v>
          </cell>
        </row>
        <row r="305">
          <cell r="A305">
            <v>160050013</v>
          </cell>
          <cell r="B305" t="str">
            <v>倒吊人之牌</v>
          </cell>
          <cell r="C305" t="str">
            <v>艺术古董</v>
          </cell>
          <cell r="D305">
            <v>2</v>
          </cell>
          <cell r="E305">
            <v>60</v>
          </cell>
          <cell r="F305">
            <v>5</v>
          </cell>
          <cell r="G305">
            <v>1</v>
          </cell>
          <cell r="H305">
            <v>1</v>
          </cell>
        </row>
        <row r="306">
          <cell r="A306">
            <v>160050014</v>
          </cell>
          <cell r="B306" t="str">
            <v>死神之牌</v>
          </cell>
          <cell r="C306" t="str">
            <v>艺术古董</v>
          </cell>
          <cell r="D306">
            <v>2</v>
          </cell>
          <cell r="E306">
            <v>60</v>
          </cell>
          <cell r="F306">
            <v>5</v>
          </cell>
          <cell r="G306">
            <v>1</v>
          </cell>
          <cell r="H306">
            <v>1</v>
          </cell>
        </row>
        <row r="307">
          <cell r="A307">
            <v>160050015</v>
          </cell>
          <cell r="B307" t="str">
            <v>节制之牌</v>
          </cell>
          <cell r="C307" t="str">
            <v>艺术古董</v>
          </cell>
          <cell r="D307">
            <v>2</v>
          </cell>
          <cell r="E307">
            <v>60</v>
          </cell>
          <cell r="F307">
            <v>5</v>
          </cell>
          <cell r="G307">
            <v>1</v>
          </cell>
          <cell r="H307">
            <v>1</v>
          </cell>
        </row>
        <row r="308">
          <cell r="A308">
            <v>160050016</v>
          </cell>
          <cell r="B308" t="str">
            <v>恶魔之牌</v>
          </cell>
          <cell r="C308" t="str">
            <v>艺术古董</v>
          </cell>
          <cell r="D308">
            <v>2</v>
          </cell>
          <cell r="E308">
            <v>60</v>
          </cell>
          <cell r="F308">
            <v>5</v>
          </cell>
          <cell r="G308">
            <v>1</v>
          </cell>
          <cell r="H308">
            <v>1</v>
          </cell>
        </row>
        <row r="309">
          <cell r="A309">
            <v>160050017</v>
          </cell>
          <cell r="B309" t="str">
            <v>高塔之牌</v>
          </cell>
          <cell r="C309" t="str">
            <v>艺术古董</v>
          </cell>
          <cell r="D309">
            <v>2</v>
          </cell>
          <cell r="E309">
            <v>60</v>
          </cell>
          <cell r="F309">
            <v>5</v>
          </cell>
          <cell r="G309">
            <v>1</v>
          </cell>
          <cell r="H309">
            <v>1</v>
          </cell>
        </row>
        <row r="310">
          <cell r="A310">
            <v>160050018</v>
          </cell>
          <cell r="B310" t="str">
            <v>星辰之牌</v>
          </cell>
          <cell r="C310" t="str">
            <v>艺术古董</v>
          </cell>
          <cell r="D310">
            <v>2</v>
          </cell>
          <cell r="E310">
            <v>60</v>
          </cell>
          <cell r="F310">
            <v>5</v>
          </cell>
          <cell r="G310">
            <v>1</v>
          </cell>
          <cell r="H310">
            <v>1</v>
          </cell>
        </row>
        <row r="311">
          <cell r="A311">
            <v>160050019</v>
          </cell>
          <cell r="B311" t="str">
            <v>月亮之牌</v>
          </cell>
          <cell r="C311" t="str">
            <v>艺术古董</v>
          </cell>
          <cell r="D311">
            <v>2</v>
          </cell>
          <cell r="E311">
            <v>60</v>
          </cell>
          <cell r="F311">
            <v>5</v>
          </cell>
          <cell r="G311">
            <v>1</v>
          </cell>
          <cell r="H311">
            <v>1</v>
          </cell>
        </row>
        <row r="312">
          <cell r="A312">
            <v>160050020</v>
          </cell>
          <cell r="B312" t="str">
            <v>太阳之牌</v>
          </cell>
          <cell r="C312" t="str">
            <v>艺术古董</v>
          </cell>
          <cell r="D312">
            <v>2</v>
          </cell>
          <cell r="E312">
            <v>60</v>
          </cell>
          <cell r="F312">
            <v>5</v>
          </cell>
          <cell r="G312">
            <v>1</v>
          </cell>
          <cell r="H312">
            <v>1</v>
          </cell>
        </row>
        <row r="313">
          <cell r="A313">
            <v>160050021</v>
          </cell>
          <cell r="B313" t="str">
            <v>审判之牌</v>
          </cell>
          <cell r="C313" t="str">
            <v>艺术古董</v>
          </cell>
          <cell r="D313">
            <v>2</v>
          </cell>
          <cell r="E313">
            <v>60</v>
          </cell>
          <cell r="F313">
            <v>5</v>
          </cell>
          <cell r="G313">
            <v>1</v>
          </cell>
          <cell r="H313">
            <v>1</v>
          </cell>
        </row>
        <row r="314">
          <cell r="A314">
            <v>160050022</v>
          </cell>
          <cell r="B314" t="str">
            <v>世界之牌</v>
          </cell>
          <cell r="C314" t="str">
            <v>艺术古董</v>
          </cell>
          <cell r="D314">
            <v>2</v>
          </cell>
          <cell r="E314">
            <v>60</v>
          </cell>
          <cell r="F314">
            <v>5</v>
          </cell>
          <cell r="G314">
            <v>1</v>
          </cell>
          <cell r="H314">
            <v>1</v>
          </cell>
        </row>
        <row r="315">
          <cell r="A315">
            <v>160050023</v>
          </cell>
          <cell r="B315" t="str">
            <v>残银旧戒</v>
          </cell>
          <cell r="C315" t="str">
            <v>艺术古董</v>
          </cell>
          <cell r="D315">
            <v>2</v>
          </cell>
          <cell r="E315">
            <v>60</v>
          </cell>
          <cell r="F315">
            <v>5</v>
          </cell>
          <cell r="G315">
            <v>1</v>
          </cell>
          <cell r="H315">
            <v>1</v>
          </cell>
        </row>
        <row r="316">
          <cell r="A316">
            <v>160050024</v>
          </cell>
          <cell r="B316" t="str">
            <v>城镇铜币</v>
          </cell>
          <cell r="C316" t="str">
            <v>艺术古董</v>
          </cell>
          <cell r="D316">
            <v>2</v>
          </cell>
          <cell r="E316">
            <v>60</v>
          </cell>
          <cell r="F316">
            <v>5</v>
          </cell>
          <cell r="G316">
            <v>1</v>
          </cell>
          <cell r="H316">
            <v>1</v>
          </cell>
        </row>
        <row r="317">
          <cell r="A317">
            <v>160050025</v>
          </cell>
          <cell r="B317" t="str">
            <v>旧纹木匣</v>
          </cell>
          <cell r="C317" t="str">
            <v>艺术古董</v>
          </cell>
          <cell r="D317">
            <v>2</v>
          </cell>
          <cell r="E317">
            <v>60</v>
          </cell>
          <cell r="F317">
            <v>5</v>
          </cell>
          <cell r="G317">
            <v>2</v>
          </cell>
          <cell r="H317">
            <v>2</v>
          </cell>
        </row>
        <row r="318">
          <cell r="A318">
            <v>160050026</v>
          </cell>
          <cell r="B318" t="str">
            <v>民用陶杯</v>
          </cell>
          <cell r="C318" t="str">
            <v>艺术古董</v>
          </cell>
          <cell r="D318">
            <v>2</v>
          </cell>
          <cell r="E318">
            <v>60</v>
          </cell>
          <cell r="F318">
            <v>5</v>
          </cell>
          <cell r="G318">
            <v>1</v>
          </cell>
          <cell r="H318">
            <v>2</v>
          </cell>
        </row>
        <row r="319">
          <cell r="A319">
            <v>160050027</v>
          </cell>
          <cell r="B319" t="str">
            <v>褪色旧饰</v>
          </cell>
          <cell r="C319" t="str">
            <v>艺术古董</v>
          </cell>
          <cell r="D319">
            <v>2</v>
          </cell>
          <cell r="E319">
            <v>60</v>
          </cell>
          <cell r="F319">
            <v>5</v>
          </cell>
          <cell r="G319">
            <v>2</v>
          </cell>
          <cell r="H319">
            <v>2</v>
          </cell>
        </row>
        <row r="320">
          <cell r="A320">
            <v>160050028</v>
          </cell>
          <cell r="B320" t="str">
            <v>断角石像</v>
          </cell>
          <cell r="C320" t="str">
            <v>艺术古董</v>
          </cell>
          <cell r="D320">
            <v>2</v>
          </cell>
          <cell r="E320">
            <v>60</v>
          </cell>
          <cell r="F320">
            <v>5</v>
          </cell>
          <cell r="G320">
            <v>2</v>
          </cell>
          <cell r="H320">
            <v>2</v>
          </cell>
        </row>
        <row r="321">
          <cell r="A321">
            <v>160050029</v>
          </cell>
          <cell r="B321" t="str">
            <v>铜扣挂件</v>
          </cell>
          <cell r="C321" t="str">
            <v>艺术古董</v>
          </cell>
          <cell r="D321">
            <v>2</v>
          </cell>
          <cell r="E321">
            <v>60</v>
          </cell>
          <cell r="F321">
            <v>5</v>
          </cell>
          <cell r="G321">
            <v>1</v>
          </cell>
          <cell r="H321">
            <v>2</v>
          </cell>
        </row>
        <row r="322">
          <cell r="A322">
            <v>160050030</v>
          </cell>
          <cell r="B322" t="str">
            <v>旧王朝银币</v>
          </cell>
          <cell r="C322" t="str">
            <v>艺术古董</v>
          </cell>
          <cell r="D322">
            <v>2</v>
          </cell>
          <cell r="E322">
            <v>60</v>
          </cell>
          <cell r="F322">
            <v>5</v>
          </cell>
          <cell r="G322">
            <v>1</v>
          </cell>
          <cell r="H322">
            <v>1</v>
          </cell>
        </row>
        <row r="323">
          <cell r="A323">
            <v>160050031</v>
          </cell>
          <cell r="B323" t="str">
            <v>黄铜纹戒</v>
          </cell>
          <cell r="C323" t="str">
            <v>艺术古董</v>
          </cell>
          <cell r="D323">
            <v>2</v>
          </cell>
          <cell r="E323">
            <v>60</v>
          </cell>
          <cell r="F323">
            <v>5</v>
          </cell>
          <cell r="G323">
            <v>1</v>
          </cell>
          <cell r="H323">
            <v>1</v>
          </cell>
        </row>
        <row r="324">
          <cell r="A324">
            <v>160050032</v>
          </cell>
          <cell r="B324" t="str">
            <v>旧铜饮杯</v>
          </cell>
          <cell r="C324" t="str">
            <v>艺术古董</v>
          </cell>
          <cell r="D324">
            <v>2</v>
          </cell>
          <cell r="E324">
            <v>60</v>
          </cell>
          <cell r="F324">
            <v>5</v>
          </cell>
          <cell r="G324">
            <v>1</v>
          </cell>
          <cell r="H324">
            <v>1</v>
          </cell>
        </row>
        <row r="325">
          <cell r="A325">
            <v>160050033</v>
          </cell>
          <cell r="B325" t="str">
            <v>玻珠坠链</v>
          </cell>
          <cell r="C325" t="str">
            <v>艺术古董</v>
          </cell>
          <cell r="D325">
            <v>2</v>
          </cell>
          <cell r="E325">
            <v>60</v>
          </cell>
          <cell r="F325">
            <v>5</v>
          </cell>
          <cell r="G325">
            <v>1</v>
          </cell>
          <cell r="H325">
            <v>2</v>
          </cell>
        </row>
        <row r="326">
          <cell r="A326">
            <v>160050034</v>
          </cell>
          <cell r="B326" t="str">
            <v>旧饰匣</v>
          </cell>
          <cell r="C326" t="str">
            <v>艺术古董</v>
          </cell>
          <cell r="D326">
            <v>2</v>
          </cell>
          <cell r="E326">
            <v>60</v>
          </cell>
          <cell r="F326">
            <v>5</v>
          </cell>
          <cell r="G326">
            <v>2</v>
          </cell>
          <cell r="H326">
            <v>1</v>
          </cell>
        </row>
        <row r="327">
          <cell r="A327">
            <v>160050035</v>
          </cell>
          <cell r="B327" t="str">
            <v>市集石雕</v>
          </cell>
          <cell r="C327" t="str">
            <v>艺术古董</v>
          </cell>
          <cell r="D327">
            <v>2</v>
          </cell>
          <cell r="E327">
            <v>60</v>
          </cell>
          <cell r="F327">
            <v>5</v>
          </cell>
          <cell r="G327">
            <v>1</v>
          </cell>
          <cell r="H327">
            <v>1</v>
          </cell>
        </row>
        <row r="328">
          <cell r="A328">
            <v>160050036</v>
          </cell>
          <cell r="B328" t="str">
            <v>圣徽挂坠</v>
          </cell>
          <cell r="C328" t="str">
            <v>艺术古董</v>
          </cell>
          <cell r="D328">
            <v>2</v>
          </cell>
          <cell r="E328">
            <v>60</v>
          </cell>
          <cell r="F328">
            <v>5</v>
          </cell>
          <cell r="G328">
            <v>1</v>
          </cell>
          <cell r="H328">
            <v>1</v>
          </cell>
        </row>
        <row r="329">
          <cell r="A329">
            <v>160050037</v>
          </cell>
          <cell r="B329" t="str">
            <v>古老的罗盘</v>
          </cell>
          <cell r="C329" t="str">
            <v>艺术古董</v>
          </cell>
          <cell r="D329">
            <v>2</v>
          </cell>
          <cell r="E329">
            <v>60</v>
          </cell>
          <cell r="F329">
            <v>5</v>
          </cell>
          <cell r="G329">
            <v>1</v>
          </cell>
          <cell r="H329">
            <v>1</v>
          </cell>
        </row>
        <row r="330">
          <cell r="A330">
            <v>160050038</v>
          </cell>
          <cell r="B330" t="str">
            <v>圣堂壁画碎片</v>
          </cell>
          <cell r="C330" t="str">
            <v>艺术古董</v>
          </cell>
          <cell r="D330">
            <v>2</v>
          </cell>
          <cell r="E330">
            <v>60</v>
          </cell>
          <cell r="F330">
            <v>5</v>
          </cell>
          <cell r="G330">
            <v>2</v>
          </cell>
          <cell r="H330">
            <v>2</v>
          </cell>
        </row>
        <row r="331">
          <cell r="A331">
            <v>160050039</v>
          </cell>
          <cell r="B331" t="str">
            <v>异教徒雕塑</v>
          </cell>
          <cell r="C331" t="str">
            <v>艺术古董</v>
          </cell>
          <cell r="D331">
            <v>2</v>
          </cell>
          <cell r="E331">
            <v>60</v>
          </cell>
          <cell r="F331">
            <v>5</v>
          </cell>
          <cell r="G331">
            <v>2</v>
          </cell>
          <cell r="H331">
            <v>3</v>
          </cell>
        </row>
        <row r="332">
          <cell r="A332">
            <v>160050040</v>
          </cell>
          <cell r="B332" t="str">
            <v>月纹银戒</v>
          </cell>
          <cell r="C332" t="str">
            <v>艺术古董</v>
          </cell>
          <cell r="D332">
            <v>2</v>
          </cell>
          <cell r="E332">
            <v>60</v>
          </cell>
          <cell r="F332">
            <v>5</v>
          </cell>
          <cell r="G332">
            <v>1</v>
          </cell>
          <cell r="H332">
            <v>1</v>
          </cell>
        </row>
        <row r="333">
          <cell r="A333">
            <v>160050041</v>
          </cell>
          <cell r="B333" t="str">
            <v>边城铸金币袋</v>
          </cell>
          <cell r="C333" t="str">
            <v>艺术古董</v>
          </cell>
          <cell r="D333">
            <v>2</v>
          </cell>
          <cell r="E333">
            <v>60</v>
          </cell>
          <cell r="F333">
            <v>5</v>
          </cell>
          <cell r="G333">
            <v>1</v>
          </cell>
          <cell r="H333">
            <v>1</v>
          </cell>
        </row>
        <row r="334">
          <cell r="A334">
            <v>160050042</v>
          </cell>
          <cell r="B334" t="str">
            <v>鹿纹雕木匣</v>
          </cell>
          <cell r="C334" t="str">
            <v>艺术古董</v>
          </cell>
          <cell r="D334">
            <v>2</v>
          </cell>
          <cell r="E334">
            <v>60</v>
          </cell>
          <cell r="F334">
            <v>5</v>
          </cell>
          <cell r="G334">
            <v>1</v>
          </cell>
          <cell r="H334">
            <v>1</v>
          </cell>
        </row>
        <row r="335">
          <cell r="A335">
            <v>160050043</v>
          </cell>
          <cell r="B335" t="str">
            <v>赤铜宴杯</v>
          </cell>
          <cell r="C335" t="str">
            <v>艺术古董</v>
          </cell>
          <cell r="D335">
            <v>2</v>
          </cell>
          <cell r="E335">
            <v>60</v>
          </cell>
          <cell r="F335">
            <v>5</v>
          </cell>
          <cell r="G335">
            <v>1</v>
          </cell>
          <cell r="H335">
            <v>1</v>
          </cell>
        </row>
        <row r="336">
          <cell r="A336">
            <v>160050044</v>
          </cell>
          <cell r="B336" t="str">
            <v>仪礼短剑</v>
          </cell>
          <cell r="C336" t="str">
            <v>艺术古董</v>
          </cell>
          <cell r="D336">
            <v>2</v>
          </cell>
          <cell r="E336">
            <v>60</v>
          </cell>
          <cell r="F336">
            <v>5</v>
          </cell>
          <cell r="G336">
            <v>3</v>
          </cell>
          <cell r="H336">
            <v>2</v>
          </cell>
        </row>
        <row r="337">
          <cell r="A337">
            <v>160050045</v>
          </cell>
          <cell r="B337" t="str">
            <v>星盘旧怀表</v>
          </cell>
          <cell r="C337" t="str">
            <v>艺术古董</v>
          </cell>
          <cell r="D337">
            <v>2</v>
          </cell>
          <cell r="E337">
            <v>60</v>
          </cell>
          <cell r="F337">
            <v>5</v>
          </cell>
          <cell r="G337">
            <v>1</v>
          </cell>
          <cell r="H337">
            <v>1</v>
          </cell>
        </row>
        <row r="338">
          <cell r="A338">
            <v>160050046</v>
          </cell>
          <cell r="B338" t="str">
            <v>守塔石像</v>
          </cell>
          <cell r="C338" t="str">
            <v>艺术古董</v>
          </cell>
          <cell r="D338">
            <v>2</v>
          </cell>
          <cell r="E338">
            <v>60</v>
          </cell>
          <cell r="F338">
            <v>5</v>
          </cell>
          <cell r="G338">
            <v>2</v>
          </cell>
          <cell r="H338">
            <v>3</v>
          </cell>
        </row>
        <row r="339">
          <cell r="A339">
            <v>160050047</v>
          </cell>
          <cell r="B339" t="str">
            <v>百合银链</v>
          </cell>
          <cell r="C339" t="str">
            <v>艺术古董</v>
          </cell>
          <cell r="D339">
            <v>2</v>
          </cell>
          <cell r="E339">
            <v>60</v>
          </cell>
          <cell r="F339">
            <v>5</v>
          </cell>
          <cell r="G339">
            <v>1</v>
          </cell>
          <cell r="H339">
            <v>2</v>
          </cell>
        </row>
        <row r="340">
          <cell r="A340">
            <v>160050048</v>
          </cell>
          <cell r="B340" t="str">
            <v>城卫旧徽</v>
          </cell>
          <cell r="C340" t="str">
            <v>艺术古董</v>
          </cell>
          <cell r="D340">
            <v>2</v>
          </cell>
          <cell r="E340">
            <v>60</v>
          </cell>
          <cell r="F340">
            <v>5</v>
          </cell>
          <cell r="G340">
            <v>1</v>
          </cell>
          <cell r="H340">
            <v>1</v>
          </cell>
        </row>
        <row r="341">
          <cell r="A341">
            <v>160050049</v>
          </cell>
          <cell r="B341" t="str">
            <v>镀银礼盘</v>
          </cell>
          <cell r="C341" t="str">
            <v>艺术古董</v>
          </cell>
          <cell r="D341">
            <v>2</v>
          </cell>
          <cell r="E341">
            <v>60</v>
          </cell>
          <cell r="F341">
            <v>5</v>
          </cell>
          <cell r="G341">
            <v>1</v>
          </cell>
          <cell r="H341">
            <v>2</v>
          </cell>
        </row>
        <row r="342">
          <cell r="A342">
            <v>160050050</v>
          </cell>
          <cell r="B342" t="str">
            <v>修道院抄本</v>
          </cell>
          <cell r="C342" t="str">
            <v>艺术古董</v>
          </cell>
          <cell r="D342">
            <v>2</v>
          </cell>
          <cell r="E342">
            <v>60</v>
          </cell>
          <cell r="F342">
            <v>5</v>
          </cell>
          <cell r="G342">
            <v>1</v>
          </cell>
          <cell r="H342">
            <v>2</v>
          </cell>
        </row>
        <row r="343">
          <cell r="A343">
            <v>160050051</v>
          </cell>
          <cell r="B343" t="str">
            <v>双枝铜烛台</v>
          </cell>
          <cell r="C343" t="str">
            <v>艺术古董</v>
          </cell>
          <cell r="D343">
            <v>2</v>
          </cell>
          <cell r="E343">
            <v>60</v>
          </cell>
          <cell r="F343">
            <v>5</v>
          </cell>
          <cell r="G343">
            <v>1</v>
          </cell>
          <cell r="H343">
            <v>2</v>
          </cell>
        </row>
        <row r="344">
          <cell r="A344">
            <v>160050052</v>
          </cell>
          <cell r="B344" t="str">
            <v>雕花首饰匣</v>
          </cell>
          <cell r="C344" t="str">
            <v>艺术古董</v>
          </cell>
          <cell r="D344">
            <v>2</v>
          </cell>
          <cell r="E344">
            <v>60</v>
          </cell>
          <cell r="F344">
            <v>5</v>
          </cell>
          <cell r="G344">
            <v>1</v>
          </cell>
          <cell r="H344">
            <v>2</v>
          </cell>
        </row>
        <row r="345">
          <cell r="A345">
            <v>160050053</v>
          </cell>
          <cell r="B345" t="str">
            <v>切面旧宝石</v>
          </cell>
          <cell r="C345" t="str">
            <v>艺术古董</v>
          </cell>
          <cell r="D345">
            <v>2</v>
          </cell>
          <cell r="E345">
            <v>60</v>
          </cell>
          <cell r="F345">
            <v>5</v>
          </cell>
          <cell r="G345">
            <v>1</v>
          </cell>
          <cell r="H345">
            <v>1</v>
          </cell>
        </row>
        <row r="346">
          <cell r="A346">
            <v>160050054</v>
          </cell>
          <cell r="B346" t="str">
            <v>旧贵族餐具</v>
          </cell>
          <cell r="C346" t="str">
            <v>艺术古董</v>
          </cell>
          <cell r="D346">
            <v>2</v>
          </cell>
          <cell r="E346">
            <v>60</v>
          </cell>
          <cell r="F346">
            <v>5</v>
          </cell>
          <cell r="G346">
            <v>2</v>
          </cell>
          <cell r="H346">
            <v>1</v>
          </cell>
        </row>
        <row r="347">
          <cell r="A347">
            <v>160050055</v>
          </cell>
          <cell r="B347" t="str">
            <v>贵族徽章</v>
          </cell>
          <cell r="C347" t="str">
            <v>艺术古董</v>
          </cell>
          <cell r="D347">
            <v>2</v>
          </cell>
          <cell r="E347">
            <v>60</v>
          </cell>
          <cell r="F347">
            <v>5</v>
          </cell>
          <cell r="G347">
            <v>1</v>
          </cell>
          <cell r="H347">
            <v>1</v>
          </cell>
        </row>
        <row r="348">
          <cell r="A348">
            <v>160050056</v>
          </cell>
          <cell r="B348" t="str">
            <v>古老怀表</v>
          </cell>
          <cell r="C348" t="str">
            <v>艺术古董</v>
          </cell>
          <cell r="D348">
            <v>2</v>
          </cell>
          <cell r="E348">
            <v>60</v>
          </cell>
          <cell r="F348">
            <v>5</v>
          </cell>
          <cell r="G348">
            <v>1</v>
          </cell>
          <cell r="H348">
            <v>1</v>
          </cell>
        </row>
        <row r="349">
          <cell r="A349">
            <v>160050057</v>
          </cell>
          <cell r="B349" t="str">
            <v>魔法浮雕板</v>
          </cell>
          <cell r="C349" t="str">
            <v>艺术古董</v>
          </cell>
          <cell r="D349">
            <v>2</v>
          </cell>
          <cell r="E349">
            <v>60</v>
          </cell>
          <cell r="F349">
            <v>5</v>
          </cell>
          <cell r="G349">
            <v>2</v>
          </cell>
          <cell r="H349">
            <v>2</v>
          </cell>
        </row>
        <row r="350">
          <cell r="A350">
            <v>160050058</v>
          </cell>
          <cell r="B350" t="str">
            <v>魔法乐器八音盒</v>
          </cell>
          <cell r="C350" t="str">
            <v>艺术古董</v>
          </cell>
          <cell r="D350">
            <v>2</v>
          </cell>
          <cell r="E350">
            <v>60</v>
          </cell>
          <cell r="F350">
            <v>5</v>
          </cell>
          <cell r="G350">
            <v>1</v>
          </cell>
          <cell r="H350">
            <v>1</v>
          </cell>
        </row>
        <row r="351">
          <cell r="A351">
            <v>160050059</v>
          </cell>
          <cell r="B351" t="str">
            <v>水晶摆件</v>
          </cell>
          <cell r="C351" t="str">
            <v>艺术古董</v>
          </cell>
          <cell r="D351">
            <v>2</v>
          </cell>
          <cell r="E351">
            <v>60</v>
          </cell>
          <cell r="F351">
            <v>5</v>
          </cell>
          <cell r="G351">
            <v>2</v>
          </cell>
          <cell r="H351">
            <v>2</v>
          </cell>
        </row>
        <row r="352">
          <cell r="A352">
            <v>160050060</v>
          </cell>
          <cell r="B352" t="str">
            <v>宝石项链</v>
          </cell>
          <cell r="C352" t="str">
            <v>艺术古董</v>
          </cell>
          <cell r="D352">
            <v>2</v>
          </cell>
          <cell r="E352">
            <v>60</v>
          </cell>
          <cell r="F352">
            <v>5</v>
          </cell>
          <cell r="G352">
            <v>1</v>
          </cell>
          <cell r="H352">
            <v>1</v>
          </cell>
        </row>
        <row r="353">
          <cell r="A353">
            <v>160050061</v>
          </cell>
          <cell r="B353" t="str">
            <v>精致雕像</v>
          </cell>
          <cell r="C353" t="str">
            <v>艺术古董</v>
          </cell>
          <cell r="D353">
            <v>2</v>
          </cell>
          <cell r="E353">
            <v>60</v>
          </cell>
          <cell r="F353">
            <v>5</v>
          </cell>
          <cell r="G353">
            <v>3</v>
          </cell>
          <cell r="H353">
            <v>2</v>
          </cell>
        </row>
        <row r="354">
          <cell r="A354">
            <v>160050062</v>
          </cell>
          <cell r="B354" t="str">
            <v>战争纪念章</v>
          </cell>
          <cell r="C354" t="str">
            <v>艺术古董</v>
          </cell>
          <cell r="D354">
            <v>2</v>
          </cell>
          <cell r="E354">
            <v>60</v>
          </cell>
          <cell r="F354">
            <v>5</v>
          </cell>
          <cell r="G354">
            <v>1</v>
          </cell>
          <cell r="H354">
            <v>1</v>
          </cell>
        </row>
        <row r="355">
          <cell r="A355">
            <v>160050063</v>
          </cell>
          <cell r="B355" t="str">
            <v>魔法沙漏</v>
          </cell>
          <cell r="C355" t="str">
            <v>艺术古董</v>
          </cell>
          <cell r="D355">
            <v>2</v>
          </cell>
          <cell r="E355">
            <v>60</v>
          </cell>
          <cell r="F355">
            <v>5</v>
          </cell>
          <cell r="G355">
            <v>1</v>
          </cell>
          <cell r="H355">
            <v>1</v>
          </cell>
        </row>
        <row r="356">
          <cell r="A356">
            <v>160050064</v>
          </cell>
          <cell r="B356" t="str">
            <v>象牙骰子</v>
          </cell>
          <cell r="C356" t="str">
            <v>艺术古董</v>
          </cell>
          <cell r="D356">
            <v>2</v>
          </cell>
          <cell r="E356">
            <v>60</v>
          </cell>
          <cell r="F356">
            <v>5</v>
          </cell>
          <cell r="G356">
            <v>1</v>
          </cell>
          <cell r="H356">
            <v>1</v>
          </cell>
        </row>
        <row r="357">
          <cell r="A357">
            <v>160050065</v>
          </cell>
          <cell r="B357" t="str">
            <v>镀金圣杯</v>
          </cell>
          <cell r="C357" t="str">
            <v>艺术古董</v>
          </cell>
          <cell r="D357">
            <v>2</v>
          </cell>
          <cell r="E357">
            <v>60</v>
          </cell>
          <cell r="F357">
            <v>5</v>
          </cell>
          <cell r="G357">
            <v>1</v>
          </cell>
          <cell r="H357">
            <v>2</v>
          </cell>
        </row>
        <row r="358">
          <cell r="A358">
            <v>160050066</v>
          </cell>
          <cell r="B358" t="str">
            <v>银质王室戒指</v>
          </cell>
          <cell r="C358" t="str">
            <v>艺术古董</v>
          </cell>
          <cell r="D358">
            <v>2</v>
          </cell>
          <cell r="E358">
            <v>60</v>
          </cell>
          <cell r="F358">
            <v>5</v>
          </cell>
          <cell r="G358">
            <v>1</v>
          </cell>
          <cell r="H358">
            <v>1</v>
          </cell>
        </row>
        <row r="359">
          <cell r="A359">
            <v>160050067</v>
          </cell>
          <cell r="B359" t="str">
            <v>贵族金币串</v>
          </cell>
          <cell r="C359" t="str">
            <v>艺术古董</v>
          </cell>
          <cell r="D359">
            <v>2</v>
          </cell>
          <cell r="E359">
            <v>60</v>
          </cell>
          <cell r="F359">
            <v>5</v>
          </cell>
          <cell r="G359">
            <v>1</v>
          </cell>
          <cell r="H359">
            <v>1</v>
          </cell>
        </row>
        <row r="360">
          <cell r="A360">
            <v>160050068</v>
          </cell>
          <cell r="B360" t="str">
            <v>古代银盘</v>
          </cell>
          <cell r="C360" t="str">
            <v>艺术古董</v>
          </cell>
          <cell r="D360">
            <v>2</v>
          </cell>
          <cell r="E360">
            <v>60</v>
          </cell>
          <cell r="F360">
            <v>5</v>
          </cell>
          <cell r="G360">
            <v>2</v>
          </cell>
          <cell r="H360">
            <v>1</v>
          </cell>
        </row>
        <row r="361">
          <cell r="A361">
            <v>160050069</v>
          </cell>
          <cell r="B361" t="str">
            <v>镶银匕首</v>
          </cell>
          <cell r="C361" t="str">
            <v>艺术古董</v>
          </cell>
          <cell r="D361">
            <v>2</v>
          </cell>
          <cell r="E361">
            <v>60</v>
          </cell>
          <cell r="F361">
            <v>5</v>
          </cell>
          <cell r="G361">
            <v>2</v>
          </cell>
          <cell r="H361">
            <v>1</v>
          </cell>
        </row>
        <row r="362">
          <cell r="A362">
            <v>160050070</v>
          </cell>
          <cell r="B362" t="str">
            <v>金边书籍</v>
          </cell>
          <cell r="C362" t="str">
            <v>艺术古董</v>
          </cell>
          <cell r="D362">
            <v>2</v>
          </cell>
          <cell r="E362">
            <v>60</v>
          </cell>
          <cell r="F362">
            <v>5</v>
          </cell>
          <cell r="G362">
            <v>1</v>
          </cell>
          <cell r="H362">
            <v>2</v>
          </cell>
        </row>
        <row r="363">
          <cell r="A363">
            <v>160050071</v>
          </cell>
          <cell r="B363" t="str">
            <v>雕花储物匣板</v>
          </cell>
          <cell r="C363" t="str">
            <v>艺术古董</v>
          </cell>
          <cell r="D363">
            <v>2</v>
          </cell>
          <cell r="E363">
            <v>60</v>
          </cell>
          <cell r="F363">
            <v>5</v>
          </cell>
          <cell r="G363">
            <v>2</v>
          </cell>
          <cell r="H363">
            <v>1</v>
          </cell>
        </row>
        <row r="364">
          <cell r="A364">
            <v>160050072</v>
          </cell>
          <cell r="B364" t="str">
            <v>精灵银笛</v>
          </cell>
          <cell r="C364" t="str">
            <v>艺术古董</v>
          </cell>
          <cell r="D364">
            <v>2</v>
          </cell>
          <cell r="E364">
            <v>60</v>
          </cell>
          <cell r="F364">
            <v>5</v>
          </cell>
          <cell r="G364">
            <v>1</v>
          </cell>
          <cell r="H364">
            <v>2</v>
          </cell>
        </row>
        <row r="365">
          <cell r="A365">
            <v>160050073</v>
          </cell>
          <cell r="B365" t="str">
            <v>宝石镶嵌首饰托盘</v>
          </cell>
          <cell r="C365" t="str">
            <v>艺术古董</v>
          </cell>
          <cell r="D365">
            <v>2</v>
          </cell>
          <cell r="E365">
            <v>60</v>
          </cell>
          <cell r="F365">
            <v>5</v>
          </cell>
          <cell r="G365">
            <v>3</v>
          </cell>
          <cell r="H365">
            <v>2</v>
          </cell>
        </row>
        <row r="366">
          <cell r="A366">
            <v>160050074</v>
          </cell>
          <cell r="B366" t="str">
            <v>符文戒指</v>
          </cell>
          <cell r="C366" t="str">
            <v>艺术古董</v>
          </cell>
          <cell r="D366">
            <v>2</v>
          </cell>
          <cell r="E366">
            <v>60</v>
          </cell>
          <cell r="F366">
            <v>5</v>
          </cell>
          <cell r="G366">
            <v>1</v>
          </cell>
          <cell r="H366">
            <v>1</v>
          </cell>
        </row>
        <row r="367">
          <cell r="A367">
            <v>160050075</v>
          </cell>
          <cell r="B367" t="str">
            <v>银质烛台</v>
          </cell>
          <cell r="C367" t="str">
            <v>艺术古董</v>
          </cell>
          <cell r="D367">
            <v>2</v>
          </cell>
          <cell r="E367">
            <v>60</v>
          </cell>
          <cell r="F367">
            <v>5</v>
          </cell>
          <cell r="G367">
            <v>1</v>
          </cell>
          <cell r="H367">
            <v>2</v>
          </cell>
        </row>
        <row r="368">
          <cell r="A368">
            <v>160050076</v>
          </cell>
          <cell r="B368" t="str">
            <v>金丝披肩扣</v>
          </cell>
          <cell r="C368" t="str">
            <v>艺术古董</v>
          </cell>
          <cell r="D368">
            <v>2</v>
          </cell>
          <cell r="E368">
            <v>60</v>
          </cell>
          <cell r="F368">
            <v>5</v>
          </cell>
          <cell r="G368">
            <v>1</v>
          </cell>
          <cell r="H368">
            <v>1</v>
          </cell>
        </row>
        <row r="369">
          <cell r="A369">
            <v>160050077</v>
          </cell>
          <cell r="B369" t="str">
            <v>宝石耳坠</v>
          </cell>
          <cell r="C369" t="str">
            <v>艺术古董</v>
          </cell>
          <cell r="D369">
            <v>2</v>
          </cell>
          <cell r="E369">
            <v>60</v>
          </cell>
          <cell r="F369">
            <v>5</v>
          </cell>
          <cell r="G369">
            <v>1</v>
          </cell>
          <cell r="H369">
            <v>1</v>
          </cell>
        </row>
        <row r="370">
          <cell r="A370">
            <v>160050078</v>
          </cell>
          <cell r="B370" t="str">
            <v>雕刻酒杯</v>
          </cell>
          <cell r="C370" t="str">
            <v>艺术古董</v>
          </cell>
          <cell r="D370">
            <v>2</v>
          </cell>
          <cell r="E370">
            <v>60</v>
          </cell>
          <cell r="F370">
            <v>5</v>
          </cell>
          <cell r="G370">
            <v>1</v>
          </cell>
          <cell r="H370">
            <v>1</v>
          </cell>
        </row>
        <row r="371">
          <cell r="A371">
            <v>160050079</v>
          </cell>
          <cell r="B371" t="str">
            <v>贵族餐具套</v>
          </cell>
          <cell r="C371" t="str">
            <v>艺术古董</v>
          </cell>
          <cell r="D371">
            <v>2</v>
          </cell>
          <cell r="E371">
            <v>60</v>
          </cell>
          <cell r="F371">
            <v>5</v>
          </cell>
          <cell r="G371">
            <v>2</v>
          </cell>
          <cell r="H371">
            <v>2</v>
          </cell>
        </row>
        <row r="372">
          <cell r="A372">
            <v>160050080</v>
          </cell>
          <cell r="B372" t="str">
            <v>铸纹金币条</v>
          </cell>
          <cell r="C372" t="str">
            <v>艺术古董</v>
          </cell>
          <cell r="D372">
            <v>2</v>
          </cell>
          <cell r="E372">
            <v>60</v>
          </cell>
          <cell r="F372">
            <v>5</v>
          </cell>
          <cell r="G372">
            <v>1</v>
          </cell>
          <cell r="H372">
            <v>2</v>
          </cell>
        </row>
        <row r="373">
          <cell r="A373">
            <v>160050081</v>
          </cell>
          <cell r="B373" t="str">
            <v>魔法书封皮</v>
          </cell>
          <cell r="C373" t="str">
            <v>艺术古董</v>
          </cell>
          <cell r="D373">
            <v>2</v>
          </cell>
          <cell r="E373">
            <v>60</v>
          </cell>
          <cell r="F373">
            <v>5</v>
          </cell>
          <cell r="G373">
            <v>1</v>
          </cell>
          <cell r="H373">
            <v>2</v>
          </cell>
        </row>
        <row r="374">
          <cell r="A374">
            <v>160050082</v>
          </cell>
          <cell r="B374" t="str">
            <v>装饰盾牌</v>
          </cell>
          <cell r="C374" t="str">
            <v>艺术古董</v>
          </cell>
          <cell r="D374">
            <v>2</v>
          </cell>
          <cell r="E374">
            <v>60</v>
          </cell>
          <cell r="F374">
            <v>5</v>
          </cell>
          <cell r="G374">
            <v>2</v>
          </cell>
          <cell r="H374">
            <v>1</v>
          </cell>
        </row>
        <row r="375">
          <cell r="A375">
            <v>160050083</v>
          </cell>
          <cell r="B375" t="str">
            <v>宝石胸针</v>
          </cell>
          <cell r="C375" t="str">
            <v>艺术古董</v>
          </cell>
          <cell r="D375">
            <v>2</v>
          </cell>
          <cell r="E375">
            <v>60</v>
          </cell>
          <cell r="F375">
            <v>5</v>
          </cell>
          <cell r="G375">
            <v>1</v>
          </cell>
          <cell r="H375">
            <v>1</v>
          </cell>
        </row>
        <row r="376">
          <cell r="A376">
            <v>160050084</v>
          </cell>
          <cell r="B376" t="str">
            <v>金边卷轴芯轴</v>
          </cell>
          <cell r="C376" t="str">
            <v>艺术古董</v>
          </cell>
          <cell r="D376">
            <v>2</v>
          </cell>
          <cell r="E376">
            <v>60</v>
          </cell>
          <cell r="F376">
            <v>5</v>
          </cell>
          <cell r="G376">
            <v>1</v>
          </cell>
          <cell r="H376">
            <v>2</v>
          </cell>
        </row>
        <row r="377">
          <cell r="A377">
            <v>160050085</v>
          </cell>
          <cell r="B377" t="str">
            <v>精灵手镯</v>
          </cell>
          <cell r="C377" t="str">
            <v>艺术古董</v>
          </cell>
          <cell r="D377">
            <v>2</v>
          </cell>
          <cell r="E377">
            <v>60</v>
          </cell>
          <cell r="F377">
            <v>5</v>
          </cell>
          <cell r="G377">
            <v>1</v>
          </cell>
          <cell r="H377">
            <v>1</v>
          </cell>
        </row>
        <row r="378">
          <cell r="A378">
            <v>160050086</v>
          </cell>
          <cell r="B378" t="str">
            <v>雕花镜子</v>
          </cell>
          <cell r="C378" t="str">
            <v>艺术古董</v>
          </cell>
          <cell r="D378">
            <v>2</v>
          </cell>
          <cell r="E378">
            <v>60</v>
          </cell>
          <cell r="F378">
            <v>5</v>
          </cell>
          <cell r="G378">
            <v>1</v>
          </cell>
          <cell r="H378">
            <v>1</v>
          </cell>
        </row>
        <row r="379">
          <cell r="A379">
            <v>160050087</v>
          </cell>
          <cell r="B379" t="str">
            <v>雕刻酒壶</v>
          </cell>
          <cell r="C379" t="str">
            <v>艺术古董</v>
          </cell>
          <cell r="D379">
            <v>2</v>
          </cell>
          <cell r="E379">
            <v>60</v>
          </cell>
          <cell r="F379">
            <v>5</v>
          </cell>
          <cell r="G379">
            <v>1</v>
          </cell>
          <cell r="H379">
            <v>1</v>
          </cell>
        </row>
        <row r="380">
          <cell r="A380">
            <v>160050088</v>
          </cell>
          <cell r="B380" t="str">
            <v>宝石王冠</v>
          </cell>
          <cell r="C380" t="str">
            <v>艺术古董</v>
          </cell>
          <cell r="D380">
            <v>2</v>
          </cell>
          <cell r="E380">
            <v>60</v>
          </cell>
          <cell r="F380">
            <v>5</v>
          </cell>
          <cell r="G380">
            <v>2</v>
          </cell>
          <cell r="H380">
            <v>2</v>
          </cell>
        </row>
        <row r="381">
          <cell r="A381">
            <v>160050089</v>
          </cell>
          <cell r="B381" t="str">
            <v>精灵王雕像</v>
          </cell>
          <cell r="C381" t="str">
            <v>艺术古董</v>
          </cell>
          <cell r="D381">
            <v>2</v>
          </cell>
          <cell r="E381">
            <v>60</v>
          </cell>
          <cell r="F381">
            <v>5</v>
          </cell>
          <cell r="G381">
            <v>3</v>
          </cell>
          <cell r="H381">
            <v>3</v>
          </cell>
        </row>
        <row r="382">
          <cell r="A382">
            <v>160050090</v>
          </cell>
          <cell r="B382" t="str">
            <v>神殿祭器</v>
          </cell>
          <cell r="C382" t="str">
            <v>艺术古董</v>
          </cell>
          <cell r="D382">
            <v>2</v>
          </cell>
          <cell r="E382">
            <v>60</v>
          </cell>
          <cell r="F382">
            <v>5</v>
          </cell>
          <cell r="G382">
            <v>2</v>
          </cell>
          <cell r="H382">
            <v>3</v>
          </cell>
        </row>
        <row r="383">
          <cell r="A383">
            <v>160050091</v>
          </cell>
          <cell r="B383" t="str">
            <v>纯金权杖</v>
          </cell>
          <cell r="C383" t="str">
            <v>艺术古董</v>
          </cell>
          <cell r="D383">
            <v>2</v>
          </cell>
          <cell r="E383">
            <v>60</v>
          </cell>
          <cell r="F383">
            <v>5</v>
          </cell>
          <cell r="G383">
            <v>1</v>
          </cell>
          <cell r="H383">
            <v>2</v>
          </cell>
        </row>
        <row r="384">
          <cell r="A384">
            <v>160050092</v>
          </cell>
          <cell r="B384" t="str">
            <v>远古金币铸板</v>
          </cell>
          <cell r="C384" t="str">
            <v>艺术古董</v>
          </cell>
          <cell r="D384">
            <v>2</v>
          </cell>
          <cell r="E384">
            <v>60</v>
          </cell>
          <cell r="F384">
            <v>5</v>
          </cell>
          <cell r="G384">
            <v>3</v>
          </cell>
          <cell r="H384">
            <v>2</v>
          </cell>
        </row>
        <row r="385">
          <cell r="A385">
            <v>160050093</v>
          </cell>
          <cell r="B385" t="str">
            <v>龙鳞护符</v>
          </cell>
          <cell r="C385" t="str">
            <v>艺术古董</v>
          </cell>
          <cell r="D385">
            <v>2</v>
          </cell>
          <cell r="E385">
            <v>60</v>
          </cell>
          <cell r="F385">
            <v>5</v>
          </cell>
          <cell r="G385">
            <v>1</v>
          </cell>
          <cell r="H385">
            <v>1</v>
          </cell>
        </row>
        <row r="386">
          <cell r="A386">
            <v>160050094</v>
          </cell>
          <cell r="B386" t="str">
            <v>王室徽章</v>
          </cell>
          <cell r="C386" t="str">
            <v>艺术古董</v>
          </cell>
          <cell r="D386">
            <v>2</v>
          </cell>
          <cell r="E386">
            <v>60</v>
          </cell>
          <cell r="F386">
            <v>5</v>
          </cell>
          <cell r="G386">
            <v>1</v>
          </cell>
          <cell r="H386">
            <v>1</v>
          </cell>
        </row>
        <row r="387">
          <cell r="A387">
            <v>160050095</v>
          </cell>
          <cell r="B387" t="str">
            <v>龙蛋化石</v>
          </cell>
          <cell r="C387" t="str">
            <v>艺术古董</v>
          </cell>
          <cell r="D387">
            <v>2</v>
          </cell>
          <cell r="E387">
            <v>60</v>
          </cell>
          <cell r="F387">
            <v>5</v>
          </cell>
          <cell r="G387">
            <v>2</v>
          </cell>
          <cell r="H387">
            <v>2</v>
          </cell>
        </row>
        <row r="388">
          <cell r="A388">
            <v>160050096</v>
          </cell>
          <cell r="B388" t="str">
            <v>黄金雕像</v>
          </cell>
          <cell r="C388" t="str">
            <v>艺术古董</v>
          </cell>
          <cell r="D388">
            <v>2</v>
          </cell>
          <cell r="E388">
            <v>60</v>
          </cell>
          <cell r="F388">
            <v>5</v>
          </cell>
          <cell r="G388">
            <v>3</v>
          </cell>
          <cell r="H388">
            <v>3</v>
          </cell>
        </row>
        <row r="389">
          <cell r="A389">
            <v>160050097</v>
          </cell>
          <cell r="B389" t="str">
            <v>封印符文石匣</v>
          </cell>
          <cell r="C389" t="str">
            <v>艺术古董</v>
          </cell>
          <cell r="D389">
            <v>2</v>
          </cell>
          <cell r="E389">
            <v>60</v>
          </cell>
          <cell r="F389">
            <v>5</v>
          </cell>
          <cell r="G389">
            <v>2</v>
          </cell>
          <cell r="H389">
            <v>2</v>
          </cell>
        </row>
        <row r="390">
          <cell r="A390">
            <v>160050098</v>
          </cell>
          <cell r="B390" t="str">
            <v>精灵乐器</v>
          </cell>
          <cell r="C390" t="str">
            <v>艺术古董</v>
          </cell>
          <cell r="D390">
            <v>2</v>
          </cell>
          <cell r="E390">
            <v>60</v>
          </cell>
          <cell r="F390">
            <v>5</v>
          </cell>
          <cell r="G390">
            <v>2</v>
          </cell>
          <cell r="H390">
            <v>3</v>
          </cell>
        </row>
        <row r="391">
          <cell r="A391">
            <v>160050099</v>
          </cell>
          <cell r="B391" t="str">
            <v>远古遗物碎片</v>
          </cell>
          <cell r="C391" t="str">
            <v>艺术古董</v>
          </cell>
          <cell r="D391">
            <v>2</v>
          </cell>
          <cell r="E391">
            <v>60</v>
          </cell>
          <cell r="F391">
            <v>5</v>
          </cell>
          <cell r="G391">
            <v>1</v>
          </cell>
          <cell r="H391">
            <v>1</v>
          </cell>
        </row>
        <row r="392">
          <cell r="A392">
            <v>160050100</v>
          </cell>
          <cell r="B392" t="str">
            <v>远古神器碎片</v>
          </cell>
          <cell r="C392" t="str">
            <v>艺术古董</v>
          </cell>
          <cell r="D392">
            <v>2</v>
          </cell>
          <cell r="E392">
            <v>60</v>
          </cell>
          <cell r="F392">
            <v>5</v>
          </cell>
          <cell r="G392">
            <v>1</v>
          </cell>
          <cell r="H392">
            <v>1</v>
          </cell>
        </row>
        <row r="393">
          <cell r="A393">
            <v>160050101</v>
          </cell>
          <cell r="B393" t="str">
            <v>王室宝石陈列架</v>
          </cell>
          <cell r="C393" t="str">
            <v>艺术古董</v>
          </cell>
          <cell r="D393">
            <v>2</v>
          </cell>
          <cell r="E393">
            <v>60</v>
          </cell>
          <cell r="F393">
            <v>5</v>
          </cell>
          <cell r="G393">
            <v>2</v>
          </cell>
          <cell r="H393">
            <v>4</v>
          </cell>
        </row>
        <row r="394">
          <cell r="A394">
            <v>160050102</v>
          </cell>
          <cell r="B394" t="str">
            <v>帝国战旗</v>
          </cell>
          <cell r="C394" t="str">
            <v>艺术古董</v>
          </cell>
          <cell r="D394">
            <v>2</v>
          </cell>
          <cell r="E394">
            <v>60</v>
          </cell>
          <cell r="F394">
            <v>5</v>
          </cell>
          <cell r="G394">
            <v>1</v>
          </cell>
          <cell r="H394">
            <v>2</v>
          </cell>
        </row>
        <row r="395">
          <cell r="A395">
            <v>160050103</v>
          </cell>
          <cell r="B395" t="str">
            <v>黄金圣杯</v>
          </cell>
          <cell r="C395" t="str">
            <v>艺术古董</v>
          </cell>
          <cell r="D395">
            <v>2</v>
          </cell>
          <cell r="E395">
            <v>60</v>
          </cell>
          <cell r="F395">
            <v>5</v>
          </cell>
          <cell r="G395">
            <v>1</v>
          </cell>
          <cell r="H395">
            <v>2</v>
          </cell>
        </row>
        <row r="396">
          <cell r="A396">
            <v>160050104</v>
          </cell>
          <cell r="B396" t="str">
            <v>龙骨雕刻</v>
          </cell>
          <cell r="C396" t="str">
            <v>艺术古董</v>
          </cell>
          <cell r="D396">
            <v>2</v>
          </cell>
          <cell r="E396">
            <v>60</v>
          </cell>
          <cell r="F396">
            <v>5</v>
          </cell>
          <cell r="G396">
            <v>2</v>
          </cell>
          <cell r="H396">
            <v>1</v>
          </cell>
        </row>
        <row r="397">
          <cell r="A397">
            <v>160050105</v>
          </cell>
          <cell r="B397" t="str">
            <v>古代机关锁核</v>
          </cell>
          <cell r="C397" t="str">
            <v>艺术古董</v>
          </cell>
          <cell r="D397">
            <v>2</v>
          </cell>
          <cell r="E397">
            <v>60</v>
          </cell>
          <cell r="F397">
            <v>5</v>
          </cell>
          <cell r="G397">
            <v>1</v>
          </cell>
          <cell r="H397">
            <v>1</v>
          </cell>
        </row>
        <row r="398">
          <cell r="A398">
            <v>160050106</v>
          </cell>
          <cell r="B398" t="str">
            <v>王权象征戒</v>
          </cell>
          <cell r="C398" t="str">
            <v>艺术古董</v>
          </cell>
          <cell r="D398">
            <v>2</v>
          </cell>
          <cell r="E398">
            <v>60</v>
          </cell>
          <cell r="F398">
            <v>5</v>
          </cell>
          <cell r="G398">
            <v>1</v>
          </cell>
          <cell r="H398">
            <v>1</v>
          </cell>
        </row>
        <row r="399">
          <cell r="A399">
            <v>160050107</v>
          </cell>
          <cell r="B399" t="str">
            <v>帝国宝库钥匙</v>
          </cell>
          <cell r="C399" t="str">
            <v>艺术古董</v>
          </cell>
          <cell r="D399">
            <v>2</v>
          </cell>
          <cell r="E399">
            <v>60</v>
          </cell>
          <cell r="F399">
            <v>5</v>
          </cell>
          <cell r="G399">
            <v>1</v>
          </cell>
          <cell r="H399">
            <v>2</v>
          </cell>
        </row>
        <row r="400">
          <cell r="A400">
            <v>160050108</v>
          </cell>
          <cell r="B400" t="str">
            <v>远古王座碎片</v>
          </cell>
          <cell r="C400" t="str">
            <v>艺术古董</v>
          </cell>
          <cell r="D400">
            <v>2</v>
          </cell>
          <cell r="E400">
            <v>60</v>
          </cell>
          <cell r="F400">
            <v>5</v>
          </cell>
          <cell r="G400">
            <v>2</v>
          </cell>
          <cell r="H400">
            <v>2</v>
          </cell>
        </row>
        <row r="401">
          <cell r="A401">
            <v>160050109</v>
          </cell>
          <cell r="B401" t="str">
            <v>王室秘藏铭文卷</v>
          </cell>
          <cell r="C401" t="str">
            <v>艺术古董</v>
          </cell>
          <cell r="D401">
            <v>2</v>
          </cell>
          <cell r="E401">
            <v>60</v>
          </cell>
          <cell r="F401">
            <v>5</v>
          </cell>
          <cell r="G401">
            <v>4</v>
          </cell>
          <cell r="H401">
            <v>1</v>
          </cell>
        </row>
        <row r="402">
          <cell r="A402">
            <v>160050110</v>
          </cell>
          <cell r="B402" t="str">
            <v>镶宝石王冠</v>
          </cell>
          <cell r="C402" t="str">
            <v>艺术古董</v>
          </cell>
          <cell r="D402">
            <v>2</v>
          </cell>
          <cell r="E402">
            <v>60</v>
          </cell>
          <cell r="F402">
            <v>5</v>
          </cell>
          <cell r="G402">
            <v>2</v>
          </cell>
          <cell r="H402">
            <v>2</v>
          </cell>
        </row>
        <row r="403">
          <cell r="A403">
            <v>160050111</v>
          </cell>
          <cell r="B403" t="str">
            <v>古龙金币堆</v>
          </cell>
          <cell r="C403" t="str">
            <v>艺术古董</v>
          </cell>
          <cell r="D403">
            <v>2</v>
          </cell>
          <cell r="E403">
            <v>60</v>
          </cell>
          <cell r="F403">
            <v>5</v>
          </cell>
          <cell r="G403">
            <v>2</v>
          </cell>
          <cell r="H403">
            <v>2</v>
          </cell>
        </row>
        <row r="404">
          <cell r="A404">
            <v>160050112</v>
          </cell>
          <cell r="B404" t="str">
            <v>精灵王权戒指</v>
          </cell>
          <cell r="C404" t="str">
            <v>艺术古董</v>
          </cell>
          <cell r="D404">
            <v>2</v>
          </cell>
          <cell r="E404">
            <v>60</v>
          </cell>
          <cell r="F404">
            <v>5</v>
          </cell>
          <cell r="G404">
            <v>1</v>
          </cell>
          <cell r="H404">
            <v>1</v>
          </cell>
        </row>
        <row r="405">
          <cell r="A405">
            <v>160050113</v>
          </cell>
          <cell r="B405" t="str">
            <v>帝国皇室印章</v>
          </cell>
          <cell r="C405" t="str">
            <v>艺术古董</v>
          </cell>
          <cell r="D405">
            <v>2</v>
          </cell>
          <cell r="E405">
            <v>60</v>
          </cell>
          <cell r="F405">
            <v>5</v>
          </cell>
          <cell r="G405">
            <v>1</v>
          </cell>
          <cell r="H405">
            <v>1</v>
          </cell>
        </row>
        <row r="406">
          <cell r="A406">
            <v>160050114</v>
          </cell>
          <cell r="B406" t="str">
            <v>远古祭坛核心</v>
          </cell>
          <cell r="C406" t="str">
            <v>艺术古董</v>
          </cell>
          <cell r="D406">
            <v>2</v>
          </cell>
          <cell r="E406">
            <v>60</v>
          </cell>
          <cell r="F406">
            <v>5</v>
          </cell>
          <cell r="G406">
            <v>2</v>
          </cell>
          <cell r="H406">
            <v>2</v>
          </cell>
        </row>
        <row r="407">
          <cell r="A407">
            <v>160050115</v>
          </cell>
          <cell r="B407" t="str">
            <v>龙血宝石瓶</v>
          </cell>
          <cell r="C407" t="str">
            <v>艺术古董</v>
          </cell>
          <cell r="D407">
            <v>2</v>
          </cell>
          <cell r="E407">
            <v>60</v>
          </cell>
          <cell r="F407">
            <v>5</v>
          </cell>
          <cell r="G407">
            <v>1</v>
          </cell>
          <cell r="H407">
            <v>2</v>
          </cell>
        </row>
        <row r="408">
          <cell r="A408">
            <v>160050116</v>
          </cell>
          <cell r="B408" t="str">
            <v>黄金龙首雕像</v>
          </cell>
          <cell r="C408" t="str">
            <v>艺术古董</v>
          </cell>
          <cell r="D408">
            <v>2</v>
          </cell>
          <cell r="E408">
            <v>60</v>
          </cell>
          <cell r="F408">
            <v>5</v>
          </cell>
          <cell r="G408">
            <v>3</v>
          </cell>
          <cell r="H408">
            <v>3</v>
          </cell>
        </row>
        <row r="409">
          <cell r="A409">
            <v>160050117</v>
          </cell>
          <cell r="B409" t="str">
            <v>魔导王权卷轴</v>
          </cell>
          <cell r="C409" t="str">
            <v>艺术古董</v>
          </cell>
          <cell r="D409">
            <v>2</v>
          </cell>
          <cell r="E409">
            <v>60</v>
          </cell>
          <cell r="F409">
            <v>5</v>
          </cell>
          <cell r="G409">
            <v>1</v>
          </cell>
          <cell r="H409">
            <v>2</v>
          </cell>
        </row>
        <row r="410">
          <cell r="A410">
            <v>160050118</v>
          </cell>
          <cell r="B410" t="str">
            <v>圣殿神像残件</v>
          </cell>
          <cell r="C410" t="str">
            <v>艺术古董</v>
          </cell>
          <cell r="D410">
            <v>2</v>
          </cell>
          <cell r="E410">
            <v>60</v>
          </cell>
          <cell r="F410">
            <v>5</v>
          </cell>
          <cell r="G410">
            <v>1</v>
          </cell>
          <cell r="H410">
            <v>2</v>
          </cell>
        </row>
        <row r="411">
          <cell r="A411">
            <v>160050119</v>
          </cell>
          <cell r="B411" t="str">
            <v>帝国封印金锭</v>
          </cell>
          <cell r="C411" t="str">
            <v>艺术古董</v>
          </cell>
          <cell r="D411">
            <v>2</v>
          </cell>
          <cell r="E411">
            <v>60</v>
          </cell>
          <cell r="F411">
            <v>5</v>
          </cell>
          <cell r="G411">
            <v>1</v>
          </cell>
          <cell r="H411">
            <v>2</v>
          </cell>
        </row>
        <row r="412">
          <cell r="A412">
            <v>160050120</v>
          </cell>
          <cell r="B412" t="str">
            <v>精灵宝石琴</v>
          </cell>
          <cell r="C412" t="str">
            <v>艺术古董</v>
          </cell>
          <cell r="D412">
            <v>2</v>
          </cell>
          <cell r="E412">
            <v>60</v>
          </cell>
          <cell r="F412">
            <v>5</v>
          </cell>
          <cell r="G412">
            <v>3</v>
          </cell>
          <cell r="H412">
            <v>3</v>
          </cell>
        </row>
        <row r="413">
          <cell r="A413">
            <v>160050121</v>
          </cell>
          <cell r="B413" t="str">
            <v>远古王族项链</v>
          </cell>
          <cell r="C413" t="str">
            <v>艺术古董</v>
          </cell>
          <cell r="D413">
            <v>2</v>
          </cell>
          <cell r="E413">
            <v>60</v>
          </cell>
          <cell r="F413">
            <v>5</v>
          </cell>
          <cell r="G413">
            <v>1</v>
          </cell>
          <cell r="H413">
            <v>2</v>
          </cell>
        </row>
        <row r="414">
          <cell r="A414">
            <v>160050122</v>
          </cell>
          <cell r="B414" t="str">
            <v>巨龙遗骸头骨</v>
          </cell>
          <cell r="C414" t="str">
            <v>艺术古董</v>
          </cell>
          <cell r="D414">
            <v>2</v>
          </cell>
          <cell r="E414">
            <v>60</v>
          </cell>
          <cell r="F414">
            <v>5</v>
          </cell>
          <cell r="G414">
            <v>2</v>
          </cell>
          <cell r="H414">
            <v>3</v>
          </cell>
        </row>
        <row r="415">
          <cell r="A415">
            <v>160050123</v>
          </cell>
          <cell r="B415" t="str">
            <v>魔法皇室怀表</v>
          </cell>
          <cell r="C415" t="str">
            <v>艺术古董</v>
          </cell>
          <cell r="D415">
            <v>2</v>
          </cell>
          <cell r="E415">
            <v>60</v>
          </cell>
          <cell r="F415">
            <v>5</v>
          </cell>
          <cell r="G415">
            <v>1</v>
          </cell>
          <cell r="H415">
            <v>1</v>
          </cell>
        </row>
        <row r="416">
          <cell r="A416">
            <v>160050124</v>
          </cell>
          <cell r="B416" t="str">
            <v>王城铸印金币卷</v>
          </cell>
          <cell r="C416" t="str">
            <v>艺术古董</v>
          </cell>
          <cell r="D416">
            <v>2</v>
          </cell>
          <cell r="E416">
            <v>60</v>
          </cell>
          <cell r="F416">
            <v>5</v>
          </cell>
          <cell r="G416">
            <v>1</v>
          </cell>
          <cell r="H416">
            <v>2</v>
          </cell>
        </row>
        <row r="417">
          <cell r="A417">
            <v>160050125</v>
          </cell>
          <cell r="B417" t="str">
            <v>符文王权宝珠</v>
          </cell>
          <cell r="C417" t="str">
            <v>艺术古董</v>
          </cell>
          <cell r="D417">
            <v>2</v>
          </cell>
          <cell r="E417">
            <v>60</v>
          </cell>
          <cell r="F417">
            <v>5</v>
          </cell>
          <cell r="G417">
            <v>1</v>
          </cell>
          <cell r="H417">
            <v>1</v>
          </cell>
        </row>
        <row r="418">
          <cell r="A418">
            <v>160050126</v>
          </cell>
          <cell r="B418" t="str">
            <v>古代王座扶手</v>
          </cell>
          <cell r="C418" t="str">
            <v>艺术古董</v>
          </cell>
          <cell r="D418">
            <v>2</v>
          </cell>
          <cell r="E418">
            <v>60</v>
          </cell>
          <cell r="F418">
            <v>5</v>
          </cell>
          <cell r="G418">
            <v>2</v>
          </cell>
          <cell r="H418">
            <v>2</v>
          </cell>
        </row>
        <row r="419">
          <cell r="A419">
            <v>160050127</v>
          </cell>
          <cell r="B419" t="str">
            <v>帝国荣誉勋章套组</v>
          </cell>
          <cell r="C419" t="str">
            <v>艺术古董</v>
          </cell>
          <cell r="D419">
            <v>2</v>
          </cell>
          <cell r="E419">
            <v>60</v>
          </cell>
          <cell r="F419">
            <v>5</v>
          </cell>
          <cell r="G419">
            <v>1</v>
          </cell>
          <cell r="H419">
            <v>1</v>
          </cell>
        </row>
        <row r="420">
          <cell r="A420">
            <v>160060001</v>
          </cell>
          <cell r="B420" t="str">
            <v>旧油灯</v>
          </cell>
          <cell r="C420" t="str">
            <v>生活杂物</v>
          </cell>
          <cell r="D420">
            <v>2</v>
          </cell>
          <cell r="E420">
            <v>60</v>
          </cell>
          <cell r="F420">
            <v>6</v>
          </cell>
          <cell r="G420">
            <v>2</v>
          </cell>
          <cell r="H420">
            <v>3</v>
          </cell>
        </row>
        <row r="421">
          <cell r="A421">
            <v>160060002</v>
          </cell>
          <cell r="B421" t="str">
            <v>破旧衣物</v>
          </cell>
          <cell r="C421" t="str">
            <v>生活杂物</v>
          </cell>
          <cell r="D421">
            <v>2</v>
          </cell>
          <cell r="E421">
            <v>60</v>
          </cell>
          <cell r="F421">
            <v>6</v>
          </cell>
          <cell r="G421">
            <v>3</v>
          </cell>
          <cell r="H421">
            <v>3</v>
          </cell>
        </row>
        <row r="422">
          <cell r="A422">
            <v>160060003</v>
          </cell>
          <cell r="B422" t="str">
            <v>针线盒</v>
          </cell>
          <cell r="C422" t="str">
            <v>生活杂物</v>
          </cell>
          <cell r="D422">
            <v>2</v>
          </cell>
          <cell r="E422">
            <v>60</v>
          </cell>
          <cell r="F422">
            <v>6</v>
          </cell>
          <cell r="G422">
            <v>1</v>
          </cell>
          <cell r="H422">
            <v>1</v>
          </cell>
        </row>
        <row r="423">
          <cell r="A423">
            <v>160060004</v>
          </cell>
          <cell r="B423" t="str">
            <v>日记</v>
          </cell>
          <cell r="C423" t="str">
            <v>生活杂物</v>
          </cell>
          <cell r="D423">
            <v>2</v>
          </cell>
          <cell r="E423">
            <v>60</v>
          </cell>
          <cell r="F423">
            <v>6</v>
          </cell>
          <cell r="G423">
            <v>1</v>
          </cell>
          <cell r="H423">
            <v>1</v>
          </cell>
        </row>
        <row r="424">
          <cell r="A424">
            <v>160060005</v>
          </cell>
          <cell r="B424" t="str">
            <v>破旧的斧子</v>
          </cell>
          <cell r="C424" t="str">
            <v>生活杂物</v>
          </cell>
          <cell r="D424">
            <v>2</v>
          </cell>
          <cell r="E424">
            <v>60</v>
          </cell>
          <cell r="F424">
            <v>6</v>
          </cell>
          <cell r="G424">
            <v>2</v>
          </cell>
          <cell r="H424">
            <v>1</v>
          </cell>
        </row>
        <row r="425">
          <cell r="A425">
            <v>160060006</v>
          </cell>
          <cell r="B425" t="str">
            <v>简易指南针</v>
          </cell>
          <cell r="C425" t="str">
            <v>生活杂物</v>
          </cell>
          <cell r="D425">
            <v>2</v>
          </cell>
          <cell r="E425">
            <v>60</v>
          </cell>
          <cell r="F425">
            <v>6</v>
          </cell>
          <cell r="G425">
            <v>1</v>
          </cell>
          <cell r="H425">
            <v>1</v>
          </cell>
        </row>
        <row r="426">
          <cell r="A426">
            <v>160060007</v>
          </cell>
          <cell r="B426" t="str">
            <v>鲜牛乳</v>
          </cell>
          <cell r="C426" t="str">
            <v>生活杂物</v>
          </cell>
          <cell r="D426">
            <v>2</v>
          </cell>
          <cell r="E426">
            <v>60</v>
          </cell>
          <cell r="F426">
            <v>6</v>
          </cell>
          <cell r="G426">
            <v>1</v>
          </cell>
          <cell r="H426">
            <v>1</v>
          </cell>
        </row>
        <row r="427">
          <cell r="A427">
            <v>160060008</v>
          </cell>
          <cell r="B427" t="str">
            <v>山泉水</v>
          </cell>
          <cell r="C427" t="str">
            <v>生活杂物</v>
          </cell>
          <cell r="D427">
            <v>2</v>
          </cell>
          <cell r="E427">
            <v>60</v>
          </cell>
          <cell r="F427">
            <v>6</v>
          </cell>
          <cell r="G427">
            <v>1</v>
          </cell>
          <cell r="H427">
            <v>1</v>
          </cell>
        </row>
        <row r="428">
          <cell r="A428">
            <v>160060009</v>
          </cell>
          <cell r="B428" t="str">
            <v>小熊玩偶</v>
          </cell>
          <cell r="C428" t="str">
            <v>生活杂物</v>
          </cell>
          <cell r="D428">
            <v>2</v>
          </cell>
          <cell r="E428">
            <v>60</v>
          </cell>
          <cell r="F428">
            <v>6</v>
          </cell>
          <cell r="G428">
            <v>2</v>
          </cell>
          <cell r="H428">
            <v>2</v>
          </cell>
        </row>
        <row r="429">
          <cell r="A429">
            <v>160060010</v>
          </cell>
          <cell r="B429" t="str">
            <v>铜杯</v>
          </cell>
          <cell r="C429" t="str">
            <v>生活杂物</v>
          </cell>
          <cell r="D429">
            <v>2</v>
          </cell>
          <cell r="E429">
            <v>60</v>
          </cell>
          <cell r="F429">
            <v>6</v>
          </cell>
          <cell r="G429">
            <v>1</v>
          </cell>
          <cell r="H429">
            <v>1</v>
          </cell>
        </row>
        <row r="430">
          <cell r="A430">
            <v>160060011</v>
          </cell>
          <cell r="B430" t="str">
            <v>金属油灯</v>
          </cell>
          <cell r="C430" t="str">
            <v>生活杂物</v>
          </cell>
          <cell r="D430">
            <v>2</v>
          </cell>
          <cell r="E430">
            <v>60</v>
          </cell>
          <cell r="F430">
            <v>6</v>
          </cell>
          <cell r="G430">
            <v>1</v>
          </cell>
          <cell r="H430">
            <v>2</v>
          </cell>
        </row>
        <row r="431">
          <cell r="A431">
            <v>160060012</v>
          </cell>
          <cell r="B431" t="str">
            <v>羽毛笔</v>
          </cell>
          <cell r="C431" t="str">
            <v>生活杂物</v>
          </cell>
          <cell r="D431">
            <v>2</v>
          </cell>
          <cell r="E431">
            <v>60</v>
          </cell>
          <cell r="F431">
            <v>6</v>
          </cell>
          <cell r="G431">
            <v>1</v>
          </cell>
          <cell r="H431">
            <v>1</v>
          </cell>
        </row>
        <row r="432">
          <cell r="A432">
            <v>160060013</v>
          </cell>
          <cell r="B432" t="str">
            <v>素面陶碗</v>
          </cell>
          <cell r="C432" t="str">
            <v>生活杂物</v>
          </cell>
          <cell r="D432">
            <v>2</v>
          </cell>
          <cell r="E432">
            <v>60</v>
          </cell>
          <cell r="F432">
            <v>6</v>
          </cell>
          <cell r="G432">
            <v>1</v>
          </cell>
          <cell r="H432">
            <v>1</v>
          </cell>
        </row>
        <row r="433">
          <cell r="A433">
            <v>160060014</v>
          </cell>
          <cell r="B433" t="str">
            <v>实木汤勺</v>
          </cell>
          <cell r="C433" t="str">
            <v>生活杂物</v>
          </cell>
          <cell r="D433">
            <v>2</v>
          </cell>
          <cell r="E433">
            <v>60</v>
          </cell>
          <cell r="F433">
            <v>6</v>
          </cell>
          <cell r="G433">
            <v>1</v>
          </cell>
          <cell r="H433">
            <v>2</v>
          </cell>
        </row>
        <row r="434">
          <cell r="A434">
            <v>160060015</v>
          </cell>
          <cell r="B434" t="str">
            <v>麻衣围裙</v>
          </cell>
          <cell r="C434" t="str">
            <v>生活杂物</v>
          </cell>
          <cell r="D434">
            <v>2</v>
          </cell>
          <cell r="E434">
            <v>60</v>
          </cell>
          <cell r="F434">
            <v>6</v>
          </cell>
          <cell r="G434">
            <v>2</v>
          </cell>
          <cell r="H434">
            <v>2</v>
          </cell>
        </row>
        <row r="435">
          <cell r="A435">
            <v>160060016</v>
          </cell>
          <cell r="B435" t="str">
            <v>编织草垫</v>
          </cell>
          <cell r="C435" t="str">
            <v>生活杂物</v>
          </cell>
          <cell r="D435">
            <v>2</v>
          </cell>
          <cell r="E435">
            <v>60</v>
          </cell>
          <cell r="F435">
            <v>6</v>
          </cell>
          <cell r="G435">
            <v>2</v>
          </cell>
          <cell r="H435">
            <v>2</v>
          </cell>
        </row>
        <row r="436">
          <cell r="A436">
            <v>160060017</v>
          </cell>
          <cell r="B436" t="str">
            <v>食盐</v>
          </cell>
          <cell r="C436" t="str">
            <v>生活杂物</v>
          </cell>
          <cell r="D436">
            <v>2</v>
          </cell>
          <cell r="E436">
            <v>60</v>
          </cell>
          <cell r="F436">
            <v>6</v>
          </cell>
          <cell r="G436">
            <v>1</v>
          </cell>
          <cell r="H436">
            <v>1</v>
          </cell>
        </row>
        <row r="437">
          <cell r="A437">
            <v>160060018</v>
          </cell>
          <cell r="B437" t="str">
            <v>麦香面包</v>
          </cell>
          <cell r="C437" t="str">
            <v>生活杂物</v>
          </cell>
          <cell r="D437">
            <v>2</v>
          </cell>
          <cell r="E437">
            <v>60</v>
          </cell>
          <cell r="F437">
            <v>6</v>
          </cell>
          <cell r="G437">
            <v>1</v>
          </cell>
          <cell r="H437">
            <v>1</v>
          </cell>
        </row>
        <row r="438">
          <cell r="A438">
            <v>160060019</v>
          </cell>
          <cell r="B438" t="str">
            <v>水壶</v>
          </cell>
          <cell r="C438" t="str">
            <v>生活杂物</v>
          </cell>
          <cell r="D438">
            <v>2</v>
          </cell>
          <cell r="E438">
            <v>60</v>
          </cell>
          <cell r="F438">
            <v>6</v>
          </cell>
          <cell r="G438">
            <v>1</v>
          </cell>
          <cell r="H438">
            <v>1</v>
          </cell>
        </row>
        <row r="439">
          <cell r="A439">
            <v>160060020</v>
          </cell>
          <cell r="B439" t="str">
            <v>淡酒</v>
          </cell>
          <cell r="C439" t="str">
            <v>生活杂物</v>
          </cell>
          <cell r="D439">
            <v>2</v>
          </cell>
          <cell r="E439">
            <v>60</v>
          </cell>
          <cell r="F439">
            <v>6</v>
          </cell>
          <cell r="G439">
            <v>1</v>
          </cell>
          <cell r="H439">
            <v>2</v>
          </cell>
        </row>
        <row r="440">
          <cell r="A440">
            <v>160060021</v>
          </cell>
          <cell r="B440" t="str">
            <v>擦布</v>
          </cell>
          <cell r="C440" t="str">
            <v>生活杂物</v>
          </cell>
          <cell r="D440">
            <v>2</v>
          </cell>
          <cell r="E440">
            <v>60</v>
          </cell>
          <cell r="F440">
            <v>6</v>
          </cell>
          <cell r="G440">
            <v>1</v>
          </cell>
          <cell r="H440">
            <v>1</v>
          </cell>
        </row>
        <row r="441">
          <cell r="A441">
            <v>160060022</v>
          </cell>
          <cell r="B441" t="str">
            <v>实木餐盘</v>
          </cell>
          <cell r="C441" t="str">
            <v>生活杂物</v>
          </cell>
          <cell r="D441">
            <v>2</v>
          </cell>
          <cell r="E441">
            <v>60</v>
          </cell>
          <cell r="F441">
            <v>6</v>
          </cell>
          <cell r="G441">
            <v>2</v>
          </cell>
          <cell r="H441">
            <v>2</v>
          </cell>
        </row>
        <row r="442">
          <cell r="A442">
            <v>160060023</v>
          </cell>
          <cell r="B442" t="str">
            <v>老旧油灯</v>
          </cell>
          <cell r="C442" t="str">
            <v>生活杂物</v>
          </cell>
          <cell r="D442">
            <v>2</v>
          </cell>
          <cell r="E442">
            <v>60</v>
          </cell>
          <cell r="F442">
            <v>6</v>
          </cell>
          <cell r="G442">
            <v>2</v>
          </cell>
          <cell r="H442">
            <v>2</v>
          </cell>
        </row>
        <row r="443">
          <cell r="A443">
            <v>160060024</v>
          </cell>
          <cell r="B443" t="str">
            <v>杂粮饼干</v>
          </cell>
          <cell r="C443" t="str">
            <v>生活杂物</v>
          </cell>
          <cell r="D443">
            <v>2</v>
          </cell>
          <cell r="E443">
            <v>60</v>
          </cell>
          <cell r="F443">
            <v>6</v>
          </cell>
          <cell r="G443">
            <v>1</v>
          </cell>
          <cell r="H443">
            <v>1</v>
          </cell>
        </row>
        <row r="444">
          <cell r="A444">
            <v>160060025</v>
          </cell>
          <cell r="B444" t="str">
            <v>日晒果干</v>
          </cell>
          <cell r="C444" t="str">
            <v>生活杂物</v>
          </cell>
          <cell r="D444">
            <v>2</v>
          </cell>
          <cell r="E444">
            <v>60</v>
          </cell>
          <cell r="F444">
            <v>6</v>
          </cell>
          <cell r="G444">
            <v>1</v>
          </cell>
          <cell r="H444">
            <v>1</v>
          </cell>
        </row>
        <row r="445">
          <cell r="A445">
            <v>160060026</v>
          </cell>
          <cell r="B445" t="str">
            <v>银杯</v>
          </cell>
          <cell r="C445" t="str">
            <v>生活杂物</v>
          </cell>
          <cell r="D445">
            <v>2</v>
          </cell>
          <cell r="E445">
            <v>60</v>
          </cell>
          <cell r="F445">
            <v>6</v>
          </cell>
          <cell r="G445">
            <v>1</v>
          </cell>
          <cell r="H445">
            <v>1</v>
          </cell>
        </row>
        <row r="446">
          <cell r="A446">
            <v>160060027</v>
          </cell>
          <cell r="B446" t="str">
            <v>凝露水壶</v>
          </cell>
          <cell r="C446" t="str">
            <v>生活杂物</v>
          </cell>
          <cell r="D446">
            <v>2</v>
          </cell>
          <cell r="E446">
            <v>60</v>
          </cell>
          <cell r="F446">
            <v>6</v>
          </cell>
          <cell r="G446">
            <v>1</v>
          </cell>
          <cell r="H446">
            <v>2</v>
          </cell>
        </row>
        <row r="447">
          <cell r="A447">
            <v>160060028</v>
          </cell>
          <cell r="B447" t="str">
            <v>粗麻餐巾</v>
          </cell>
          <cell r="C447" t="str">
            <v>生活杂物</v>
          </cell>
          <cell r="D447">
            <v>2</v>
          </cell>
          <cell r="E447">
            <v>60</v>
          </cell>
          <cell r="F447">
            <v>6</v>
          </cell>
          <cell r="G447">
            <v>1</v>
          </cell>
          <cell r="H447">
            <v>1</v>
          </cell>
        </row>
        <row r="448">
          <cell r="A448">
            <v>160060029</v>
          </cell>
          <cell r="B448" t="str">
            <v>菜刀</v>
          </cell>
          <cell r="C448" t="str">
            <v>生活杂物</v>
          </cell>
          <cell r="D448">
            <v>2</v>
          </cell>
          <cell r="E448">
            <v>60</v>
          </cell>
          <cell r="F448">
            <v>6</v>
          </cell>
          <cell r="G448">
            <v>1</v>
          </cell>
          <cell r="H448">
            <v>1</v>
          </cell>
        </row>
        <row r="449">
          <cell r="A449">
            <v>160060030</v>
          </cell>
          <cell r="B449" t="str">
            <v>炭火盆</v>
          </cell>
          <cell r="C449" t="str">
            <v>生活杂物</v>
          </cell>
          <cell r="D449">
            <v>2</v>
          </cell>
          <cell r="E449">
            <v>60</v>
          </cell>
          <cell r="F449">
            <v>6</v>
          </cell>
          <cell r="G449">
            <v>1</v>
          </cell>
          <cell r="H449">
            <v>1</v>
          </cell>
        </row>
        <row r="450">
          <cell r="A450">
            <v>160060031</v>
          </cell>
          <cell r="B450" t="str">
            <v>风味腌菜</v>
          </cell>
          <cell r="C450" t="str">
            <v>生活杂物</v>
          </cell>
          <cell r="D450">
            <v>2</v>
          </cell>
          <cell r="E450">
            <v>60</v>
          </cell>
          <cell r="F450">
            <v>6</v>
          </cell>
          <cell r="G450">
            <v>1</v>
          </cell>
          <cell r="H450">
            <v>1</v>
          </cell>
        </row>
        <row r="451">
          <cell r="A451">
            <v>160060032</v>
          </cell>
          <cell r="B451" t="str">
            <v>小麦酒</v>
          </cell>
          <cell r="C451" t="str">
            <v>生活杂物</v>
          </cell>
          <cell r="D451">
            <v>2</v>
          </cell>
          <cell r="E451">
            <v>60</v>
          </cell>
          <cell r="F451">
            <v>6</v>
          </cell>
          <cell r="G451">
            <v>1</v>
          </cell>
          <cell r="H451">
            <v>1</v>
          </cell>
        </row>
        <row r="452">
          <cell r="A452">
            <v>160060033</v>
          </cell>
          <cell r="B452" t="str">
            <v>压缩干粮块</v>
          </cell>
          <cell r="C452" t="str">
            <v>生活杂物</v>
          </cell>
          <cell r="D452">
            <v>2</v>
          </cell>
          <cell r="E452">
            <v>60</v>
          </cell>
          <cell r="F452">
            <v>6</v>
          </cell>
          <cell r="G452">
            <v>1</v>
          </cell>
          <cell r="H452">
            <v>1</v>
          </cell>
        </row>
        <row r="453">
          <cell r="A453">
            <v>160060034</v>
          </cell>
          <cell r="B453" t="str">
            <v>雕花烛台</v>
          </cell>
          <cell r="C453" t="str">
            <v>生活杂物</v>
          </cell>
          <cell r="D453">
            <v>2</v>
          </cell>
          <cell r="E453">
            <v>60</v>
          </cell>
          <cell r="F453">
            <v>6</v>
          </cell>
          <cell r="G453">
            <v>2</v>
          </cell>
          <cell r="H453">
            <v>2</v>
          </cell>
        </row>
        <row r="454">
          <cell r="A454">
            <v>160060035</v>
          </cell>
          <cell r="B454" t="str">
            <v>黄铜油灯</v>
          </cell>
          <cell r="C454" t="str">
            <v>生活杂物</v>
          </cell>
          <cell r="D454">
            <v>2</v>
          </cell>
          <cell r="E454">
            <v>60</v>
          </cell>
          <cell r="F454">
            <v>6</v>
          </cell>
          <cell r="G454">
            <v>1</v>
          </cell>
          <cell r="H454">
            <v>1</v>
          </cell>
        </row>
        <row r="455">
          <cell r="A455">
            <v>160060036</v>
          </cell>
          <cell r="B455" t="str">
            <v>金杯</v>
          </cell>
          <cell r="C455" t="str">
            <v>生活杂物</v>
          </cell>
          <cell r="D455">
            <v>2</v>
          </cell>
          <cell r="E455">
            <v>60</v>
          </cell>
          <cell r="F455">
            <v>6</v>
          </cell>
          <cell r="G455">
            <v>1</v>
          </cell>
          <cell r="H455">
            <v>1</v>
          </cell>
        </row>
        <row r="456">
          <cell r="A456">
            <v>160060037</v>
          </cell>
          <cell r="B456" t="str">
            <v>符热烤盘</v>
          </cell>
          <cell r="C456" t="str">
            <v>生活杂物</v>
          </cell>
          <cell r="D456">
            <v>2</v>
          </cell>
          <cell r="E456">
            <v>60</v>
          </cell>
          <cell r="F456">
            <v>6</v>
          </cell>
          <cell r="G456">
            <v>1</v>
          </cell>
          <cell r="H456">
            <v>1</v>
          </cell>
        </row>
        <row r="457">
          <cell r="A457">
            <v>160060038</v>
          </cell>
          <cell r="B457" t="str">
            <v>保鲜玉壶</v>
          </cell>
          <cell r="C457" t="str">
            <v>生活杂物</v>
          </cell>
          <cell r="D457">
            <v>2</v>
          </cell>
          <cell r="E457">
            <v>60</v>
          </cell>
          <cell r="F457">
            <v>6</v>
          </cell>
          <cell r="G457">
            <v>1</v>
          </cell>
          <cell r="H457">
            <v>1</v>
          </cell>
        </row>
        <row r="458">
          <cell r="A458">
            <v>160060039</v>
          </cell>
          <cell r="B458" t="str">
            <v>深山蜂酿酒</v>
          </cell>
          <cell r="C458" t="str">
            <v>生活杂物</v>
          </cell>
          <cell r="D458">
            <v>2</v>
          </cell>
          <cell r="E458">
            <v>60</v>
          </cell>
          <cell r="F458">
            <v>6</v>
          </cell>
          <cell r="G458">
            <v>1</v>
          </cell>
          <cell r="H458">
            <v>1</v>
          </cell>
        </row>
        <row r="459">
          <cell r="A459">
            <v>160060040</v>
          </cell>
          <cell r="B459" t="str">
            <v>风干肉片</v>
          </cell>
          <cell r="C459" t="str">
            <v>生活杂物</v>
          </cell>
          <cell r="D459">
            <v>2</v>
          </cell>
          <cell r="E459">
            <v>60</v>
          </cell>
          <cell r="F459">
            <v>6</v>
          </cell>
          <cell r="G459">
            <v>1</v>
          </cell>
          <cell r="H459">
            <v>1</v>
          </cell>
        </row>
        <row r="460">
          <cell r="A460">
            <v>160060041</v>
          </cell>
          <cell r="B460" t="str">
            <v>秘制香草粉</v>
          </cell>
          <cell r="C460" t="str">
            <v>生活杂物</v>
          </cell>
          <cell r="D460">
            <v>2</v>
          </cell>
          <cell r="E460">
            <v>60</v>
          </cell>
          <cell r="F460">
            <v>6</v>
          </cell>
          <cell r="G460">
            <v>1</v>
          </cell>
          <cell r="H460">
            <v>1</v>
          </cell>
        </row>
        <row r="461">
          <cell r="A461">
            <v>160060042</v>
          </cell>
          <cell r="B461" t="str">
            <v>均热精锅</v>
          </cell>
          <cell r="C461" t="str">
            <v>生活杂物</v>
          </cell>
          <cell r="D461">
            <v>2</v>
          </cell>
          <cell r="E461">
            <v>60</v>
          </cell>
          <cell r="F461">
            <v>6</v>
          </cell>
          <cell r="G461">
            <v>1</v>
          </cell>
          <cell r="H461">
            <v>1</v>
          </cell>
        </row>
        <row r="462">
          <cell r="A462">
            <v>160060043</v>
          </cell>
          <cell r="B462" t="str">
            <v>折叠餐具</v>
          </cell>
          <cell r="C462" t="str">
            <v>生活杂物</v>
          </cell>
          <cell r="D462">
            <v>2</v>
          </cell>
          <cell r="E462">
            <v>60</v>
          </cell>
          <cell r="F462">
            <v>6</v>
          </cell>
          <cell r="G462">
            <v>2</v>
          </cell>
          <cell r="H462">
            <v>2</v>
          </cell>
        </row>
        <row r="463">
          <cell r="A463">
            <v>160060044</v>
          </cell>
          <cell r="B463" t="str">
            <v>毛绒软垫</v>
          </cell>
          <cell r="C463" t="str">
            <v>生活杂物</v>
          </cell>
          <cell r="D463">
            <v>2</v>
          </cell>
          <cell r="E463">
            <v>60</v>
          </cell>
          <cell r="F463">
            <v>6</v>
          </cell>
          <cell r="G463">
            <v>1</v>
          </cell>
          <cell r="H463">
            <v>2</v>
          </cell>
        </row>
        <row r="464">
          <cell r="A464">
            <v>160060045</v>
          </cell>
          <cell r="B464" t="str">
            <v>谷酿酒</v>
          </cell>
          <cell r="C464" t="str">
            <v>生活杂物</v>
          </cell>
          <cell r="D464">
            <v>2</v>
          </cell>
          <cell r="E464">
            <v>60</v>
          </cell>
          <cell r="F464">
            <v>6</v>
          </cell>
          <cell r="G464">
            <v>1</v>
          </cell>
          <cell r="H464">
            <v>2</v>
          </cell>
        </row>
        <row r="465">
          <cell r="A465">
            <v>160060046</v>
          </cell>
          <cell r="B465" t="str">
            <v>引香研磨器</v>
          </cell>
          <cell r="C465" t="str">
            <v>生活杂物</v>
          </cell>
          <cell r="D465">
            <v>2</v>
          </cell>
          <cell r="E465">
            <v>60</v>
          </cell>
          <cell r="F465">
            <v>6</v>
          </cell>
          <cell r="G465">
            <v>1</v>
          </cell>
          <cell r="H465">
            <v>1</v>
          </cell>
        </row>
        <row r="466">
          <cell r="A466">
            <v>160060047</v>
          </cell>
          <cell r="B466" t="str">
            <v>月转仙酿</v>
          </cell>
          <cell r="C466" t="str">
            <v>生活杂物</v>
          </cell>
          <cell r="D466">
            <v>2</v>
          </cell>
          <cell r="E466">
            <v>60</v>
          </cell>
          <cell r="F466">
            <v>6</v>
          </cell>
          <cell r="G466">
            <v>1</v>
          </cell>
          <cell r="H466">
            <v>2</v>
          </cell>
        </row>
        <row r="467">
          <cell r="A467">
            <v>160060048</v>
          </cell>
          <cell r="B467" t="str">
            <v>定温玉壶</v>
          </cell>
          <cell r="C467" t="str">
            <v>生活杂物</v>
          </cell>
          <cell r="D467">
            <v>2</v>
          </cell>
          <cell r="E467">
            <v>60</v>
          </cell>
          <cell r="F467">
            <v>6</v>
          </cell>
          <cell r="G467">
            <v>1</v>
          </cell>
          <cell r="H467">
            <v>2</v>
          </cell>
        </row>
        <row r="468">
          <cell r="A468">
            <v>160060049</v>
          </cell>
          <cell r="B468" t="str">
            <v>静息香盘</v>
          </cell>
          <cell r="C468" t="str">
            <v>生活杂物</v>
          </cell>
          <cell r="D468">
            <v>2</v>
          </cell>
          <cell r="E468">
            <v>60</v>
          </cell>
          <cell r="F468">
            <v>6</v>
          </cell>
          <cell r="G468">
            <v>1</v>
          </cell>
          <cell r="H468">
            <v>1</v>
          </cell>
        </row>
        <row r="469">
          <cell r="A469">
            <v>160060050</v>
          </cell>
          <cell r="B469" t="str">
            <v>轻眠云毯</v>
          </cell>
          <cell r="C469" t="str">
            <v>生活杂物</v>
          </cell>
          <cell r="D469">
            <v>2</v>
          </cell>
          <cell r="E469">
            <v>60</v>
          </cell>
          <cell r="F469">
            <v>6</v>
          </cell>
          <cell r="G469">
            <v>1</v>
          </cell>
          <cell r="H469">
            <v>2</v>
          </cell>
        </row>
        <row r="470">
          <cell r="A470">
            <v>160060051</v>
          </cell>
          <cell r="B470" t="str">
            <v>流纹晶杯</v>
          </cell>
          <cell r="C470" t="str">
            <v>生活杂物</v>
          </cell>
          <cell r="D470">
            <v>2</v>
          </cell>
          <cell r="E470">
            <v>60</v>
          </cell>
          <cell r="F470">
            <v>6</v>
          </cell>
          <cell r="G470">
            <v>1</v>
          </cell>
          <cell r="H470">
            <v>1</v>
          </cell>
        </row>
        <row r="471">
          <cell r="A471">
            <v>160060052</v>
          </cell>
          <cell r="B471" t="str">
            <v>窖藏奶酪</v>
          </cell>
          <cell r="C471" t="str">
            <v>生活杂物</v>
          </cell>
          <cell r="D471">
            <v>2</v>
          </cell>
          <cell r="E471">
            <v>60</v>
          </cell>
          <cell r="F471">
            <v>6</v>
          </cell>
          <cell r="G471">
            <v>1</v>
          </cell>
          <cell r="H471">
            <v>1</v>
          </cell>
        </row>
        <row r="472">
          <cell r="A472">
            <v>160060053</v>
          </cell>
          <cell r="B472" t="str">
            <v>缓温银盘</v>
          </cell>
          <cell r="C472" t="str">
            <v>生活杂物</v>
          </cell>
          <cell r="D472">
            <v>2</v>
          </cell>
          <cell r="E472">
            <v>60</v>
          </cell>
          <cell r="F472">
            <v>6</v>
          </cell>
          <cell r="G472">
            <v>1</v>
          </cell>
          <cell r="H472">
            <v>1</v>
          </cell>
        </row>
        <row r="473">
          <cell r="A473">
            <v>160060054</v>
          </cell>
          <cell r="B473" t="str">
            <v>余音酒杯</v>
          </cell>
          <cell r="C473" t="str">
            <v>生活杂物</v>
          </cell>
          <cell r="D473">
            <v>2</v>
          </cell>
          <cell r="E473">
            <v>60</v>
          </cell>
          <cell r="F473">
            <v>6</v>
          </cell>
          <cell r="G473">
            <v>1</v>
          </cell>
          <cell r="H473">
            <v>1</v>
          </cell>
        </row>
        <row r="474">
          <cell r="A474">
            <v>160060055</v>
          </cell>
          <cell r="B474" t="str">
            <v>映心手镜</v>
          </cell>
          <cell r="C474" t="str">
            <v>生活杂物</v>
          </cell>
          <cell r="D474">
            <v>2</v>
          </cell>
          <cell r="E474">
            <v>60</v>
          </cell>
          <cell r="F474">
            <v>6</v>
          </cell>
          <cell r="G474">
            <v>1</v>
          </cell>
          <cell r="H474">
            <v>2</v>
          </cell>
        </row>
        <row r="475">
          <cell r="A475">
            <v>160060056</v>
          </cell>
          <cell r="B475" t="str">
            <v>骨瓷梳妆台</v>
          </cell>
          <cell r="C475" t="str">
            <v>生活杂物</v>
          </cell>
          <cell r="D475">
            <v>2</v>
          </cell>
          <cell r="E475">
            <v>60</v>
          </cell>
          <cell r="F475">
            <v>6</v>
          </cell>
          <cell r="G475">
            <v>3</v>
          </cell>
          <cell r="H475">
            <v>3</v>
          </cell>
        </row>
        <row r="476">
          <cell r="A476">
            <v>160060057</v>
          </cell>
          <cell r="B476" t="str">
            <v>安梦棉毯</v>
          </cell>
          <cell r="C476" t="str">
            <v>生活杂物</v>
          </cell>
          <cell r="D476">
            <v>2</v>
          </cell>
          <cell r="E476">
            <v>60</v>
          </cell>
          <cell r="F476">
            <v>6</v>
          </cell>
          <cell r="G476">
            <v>3</v>
          </cell>
          <cell r="H476">
            <v>4</v>
          </cell>
        </row>
        <row r="477">
          <cell r="A477">
            <v>160060058</v>
          </cell>
          <cell r="B477" t="str">
            <v>流净瓷具</v>
          </cell>
          <cell r="C477" t="str">
            <v>生活杂物</v>
          </cell>
          <cell r="D477">
            <v>2</v>
          </cell>
          <cell r="E477">
            <v>60</v>
          </cell>
          <cell r="F477">
            <v>6</v>
          </cell>
          <cell r="G477">
            <v>2</v>
          </cell>
          <cell r="H477">
            <v>3</v>
          </cell>
        </row>
        <row r="478">
          <cell r="A478">
            <v>160060059</v>
          </cell>
          <cell r="B478" t="str">
            <v>神酿秘酒</v>
          </cell>
          <cell r="C478" t="str">
            <v>生活杂物</v>
          </cell>
          <cell r="D478">
            <v>2</v>
          </cell>
          <cell r="E478">
            <v>60</v>
          </cell>
          <cell r="F478">
            <v>6</v>
          </cell>
          <cell r="G478">
            <v>1</v>
          </cell>
          <cell r="H478">
            <v>2</v>
          </cell>
        </row>
        <row r="479">
          <cell r="A479">
            <v>160070001</v>
          </cell>
          <cell r="B479" t="str">
            <v>旧锻造纸稿</v>
          </cell>
          <cell r="C479" t="str">
            <v>秘录卷轴</v>
          </cell>
          <cell r="D479">
            <v>2</v>
          </cell>
          <cell r="E479">
            <v>60</v>
          </cell>
          <cell r="F479">
            <v>7</v>
          </cell>
          <cell r="G479">
            <v>2</v>
          </cell>
          <cell r="H479">
            <v>1</v>
          </cell>
        </row>
        <row r="480">
          <cell r="A480">
            <v>160070002</v>
          </cell>
          <cell r="B480" t="str">
            <v>简略草图</v>
          </cell>
          <cell r="C480" t="str">
            <v>秘录卷轴</v>
          </cell>
          <cell r="D480">
            <v>2</v>
          </cell>
          <cell r="E480">
            <v>60</v>
          </cell>
          <cell r="F480">
            <v>7</v>
          </cell>
          <cell r="G480">
            <v>2</v>
          </cell>
          <cell r="H480">
            <v>1</v>
          </cell>
        </row>
        <row r="481">
          <cell r="A481">
            <v>160070003</v>
          </cell>
          <cell r="B481" t="str">
            <v>粗制符文石</v>
          </cell>
          <cell r="C481" t="str">
            <v>秘录卷轴</v>
          </cell>
          <cell r="D481">
            <v>2</v>
          </cell>
          <cell r="E481">
            <v>60</v>
          </cell>
          <cell r="F481">
            <v>7</v>
          </cell>
          <cell r="G481">
            <v>1</v>
          </cell>
          <cell r="H481">
            <v>1</v>
          </cell>
        </row>
        <row r="482">
          <cell r="A482">
            <v>160070004</v>
          </cell>
          <cell r="B482" t="str">
            <v>破旧卷轴碎片</v>
          </cell>
          <cell r="C482" t="str">
            <v>秘录卷轴</v>
          </cell>
          <cell r="D482">
            <v>2</v>
          </cell>
          <cell r="E482">
            <v>60</v>
          </cell>
          <cell r="F482">
            <v>7</v>
          </cell>
          <cell r="G482">
            <v>1</v>
          </cell>
          <cell r="H482">
            <v>1</v>
          </cell>
        </row>
        <row r="483">
          <cell r="A483">
            <v>160070005</v>
          </cell>
          <cell r="B483" t="str">
            <v>手工制作笔记</v>
          </cell>
          <cell r="C483" t="str">
            <v>秘录卷轴</v>
          </cell>
          <cell r="D483">
            <v>2</v>
          </cell>
          <cell r="E483">
            <v>60</v>
          </cell>
          <cell r="F483">
            <v>7</v>
          </cell>
          <cell r="G483">
            <v>1</v>
          </cell>
          <cell r="H483">
            <v>1</v>
          </cell>
        </row>
        <row r="484">
          <cell r="A484">
            <v>160070006</v>
          </cell>
          <cell r="B484" t="str">
            <v>小径路线图</v>
          </cell>
          <cell r="C484" t="str">
            <v>秘录卷轴</v>
          </cell>
          <cell r="D484">
            <v>2</v>
          </cell>
          <cell r="E484">
            <v>60</v>
          </cell>
          <cell r="F484">
            <v>7</v>
          </cell>
          <cell r="G484">
            <v>2</v>
          </cell>
          <cell r="H484">
            <v>1</v>
          </cell>
        </row>
        <row r="485">
          <cell r="A485">
            <v>160070007</v>
          </cell>
          <cell r="B485" t="str">
            <v>火花术卷轴</v>
          </cell>
          <cell r="C485" t="str">
            <v>秘录卷轴</v>
          </cell>
          <cell r="D485">
            <v>2</v>
          </cell>
          <cell r="E485">
            <v>60</v>
          </cell>
          <cell r="F485">
            <v>7</v>
          </cell>
          <cell r="G485">
            <v>2</v>
          </cell>
          <cell r="H485">
            <v>1</v>
          </cell>
        </row>
        <row r="486">
          <cell r="A486">
            <v>160070008</v>
          </cell>
          <cell r="B486" t="str">
            <v>简易锻造图</v>
          </cell>
          <cell r="C486" t="str">
            <v>秘录卷轴</v>
          </cell>
          <cell r="D486">
            <v>2</v>
          </cell>
          <cell r="E486">
            <v>60</v>
          </cell>
          <cell r="F486">
            <v>7</v>
          </cell>
          <cell r="G486">
            <v>1</v>
          </cell>
          <cell r="H486">
            <v>2</v>
          </cell>
        </row>
        <row r="487">
          <cell r="A487">
            <v>160070009</v>
          </cell>
          <cell r="B487" t="str">
            <v>村庄地图</v>
          </cell>
          <cell r="C487" t="str">
            <v>秘录卷轴</v>
          </cell>
          <cell r="D487">
            <v>2</v>
          </cell>
          <cell r="E487">
            <v>60</v>
          </cell>
          <cell r="F487">
            <v>7</v>
          </cell>
          <cell r="G487">
            <v>1</v>
          </cell>
          <cell r="H487">
            <v>2</v>
          </cell>
        </row>
        <row r="488">
          <cell r="A488">
            <v>160070010</v>
          </cell>
          <cell r="B488" t="str">
            <v>标准符文模组</v>
          </cell>
          <cell r="C488" t="str">
            <v>秘录卷轴</v>
          </cell>
          <cell r="D488">
            <v>2</v>
          </cell>
          <cell r="E488">
            <v>60</v>
          </cell>
          <cell r="F488">
            <v>7</v>
          </cell>
          <cell r="G488">
            <v>1</v>
          </cell>
          <cell r="H488">
            <v>2</v>
          </cell>
        </row>
        <row r="489">
          <cell r="A489">
            <v>160070011</v>
          </cell>
          <cell r="B489" t="str">
            <v>单质符文基材</v>
          </cell>
          <cell r="C489" t="str">
            <v>秘录卷轴</v>
          </cell>
          <cell r="D489">
            <v>2</v>
          </cell>
          <cell r="E489">
            <v>60</v>
          </cell>
          <cell r="F489">
            <v>7</v>
          </cell>
          <cell r="G489">
            <v>1</v>
          </cell>
          <cell r="H489">
            <v>1</v>
          </cell>
        </row>
        <row r="490">
          <cell r="A490">
            <v>160070012</v>
          </cell>
          <cell r="B490" t="str">
            <v>基础锻造手册</v>
          </cell>
          <cell r="C490" t="str">
            <v>秘录卷轴</v>
          </cell>
          <cell r="D490">
            <v>2</v>
          </cell>
          <cell r="E490">
            <v>60</v>
          </cell>
          <cell r="F490">
            <v>7</v>
          </cell>
          <cell r="G490">
            <v>1</v>
          </cell>
          <cell r="H490">
            <v>2</v>
          </cell>
        </row>
        <row r="491">
          <cell r="A491">
            <v>160070013</v>
          </cell>
          <cell r="B491" t="str">
            <v>区域地形图</v>
          </cell>
          <cell r="C491" t="str">
            <v>秘录卷轴</v>
          </cell>
          <cell r="D491">
            <v>2</v>
          </cell>
          <cell r="E491">
            <v>60</v>
          </cell>
          <cell r="F491">
            <v>7</v>
          </cell>
          <cell r="G491">
            <v>1</v>
          </cell>
          <cell r="H491">
            <v>2</v>
          </cell>
        </row>
        <row r="492">
          <cell r="A492">
            <v>160070014</v>
          </cell>
          <cell r="B492" t="str">
            <v>闪光术卷轴</v>
          </cell>
          <cell r="C492" t="str">
            <v>秘录卷轴</v>
          </cell>
          <cell r="D492">
            <v>2</v>
          </cell>
          <cell r="E492">
            <v>60</v>
          </cell>
          <cell r="F492">
            <v>7</v>
          </cell>
          <cell r="G492">
            <v>1</v>
          </cell>
          <cell r="H492">
            <v>1</v>
          </cell>
        </row>
        <row r="493">
          <cell r="A493">
            <v>160070015</v>
          </cell>
          <cell r="B493" t="str">
            <v>小队战术笔记</v>
          </cell>
          <cell r="C493" t="str">
            <v>秘录卷轴</v>
          </cell>
          <cell r="D493">
            <v>2</v>
          </cell>
          <cell r="E493">
            <v>60</v>
          </cell>
          <cell r="F493">
            <v>7</v>
          </cell>
          <cell r="G493">
            <v>1</v>
          </cell>
          <cell r="H493">
            <v>1</v>
          </cell>
        </row>
        <row r="494">
          <cell r="A494">
            <v>160070016</v>
          </cell>
          <cell r="B494" t="str">
            <v>城镇发展记录</v>
          </cell>
          <cell r="C494" t="str">
            <v>秘录卷轴</v>
          </cell>
          <cell r="D494">
            <v>2</v>
          </cell>
          <cell r="E494">
            <v>60</v>
          </cell>
          <cell r="F494">
            <v>7</v>
          </cell>
          <cell r="G494">
            <v>1</v>
          </cell>
          <cell r="H494">
            <v>1</v>
          </cell>
        </row>
        <row r="495">
          <cell r="A495">
            <v>160070017</v>
          </cell>
          <cell r="B495" t="str">
            <v>工坊订单文件</v>
          </cell>
          <cell r="C495" t="str">
            <v>秘录卷轴</v>
          </cell>
          <cell r="D495">
            <v>2</v>
          </cell>
          <cell r="E495">
            <v>60</v>
          </cell>
          <cell r="F495">
            <v>7</v>
          </cell>
          <cell r="G495">
            <v>2</v>
          </cell>
          <cell r="H495">
            <v>1</v>
          </cell>
        </row>
        <row r="496">
          <cell r="A496">
            <v>160070018</v>
          </cell>
          <cell r="B496" t="str">
            <v>精制符文核心</v>
          </cell>
          <cell r="C496" t="str">
            <v>秘录卷轴</v>
          </cell>
          <cell r="D496">
            <v>2</v>
          </cell>
          <cell r="E496">
            <v>60</v>
          </cell>
          <cell r="F496">
            <v>7</v>
          </cell>
          <cell r="G496">
            <v>1</v>
          </cell>
          <cell r="H496">
            <v>1</v>
          </cell>
        </row>
        <row r="497">
          <cell r="A497">
            <v>160070019</v>
          </cell>
          <cell r="B497" t="str">
            <v>魔力补给卷</v>
          </cell>
          <cell r="C497" t="str">
            <v>秘录卷轴</v>
          </cell>
          <cell r="D497">
            <v>2</v>
          </cell>
          <cell r="E497">
            <v>60</v>
          </cell>
          <cell r="F497">
            <v>7</v>
          </cell>
          <cell r="G497">
            <v>1</v>
          </cell>
          <cell r="H497">
            <v>1</v>
          </cell>
        </row>
        <row r="498">
          <cell r="A498">
            <v>160070020</v>
          </cell>
          <cell r="B498" t="str">
            <v>精工武器图谱</v>
          </cell>
          <cell r="C498" t="str">
            <v>秘录卷轴</v>
          </cell>
          <cell r="D498">
            <v>2</v>
          </cell>
          <cell r="E498">
            <v>60</v>
          </cell>
          <cell r="F498">
            <v>7</v>
          </cell>
          <cell r="G498">
            <v>1</v>
          </cell>
          <cell r="H498">
            <v>2</v>
          </cell>
        </row>
        <row r="499">
          <cell r="A499">
            <v>160070021</v>
          </cell>
          <cell r="B499" t="str">
            <v>边境防御布阵图</v>
          </cell>
          <cell r="C499" t="str">
            <v>秘录卷轴</v>
          </cell>
          <cell r="D499">
            <v>2</v>
          </cell>
          <cell r="E499">
            <v>60</v>
          </cell>
          <cell r="F499">
            <v>7</v>
          </cell>
          <cell r="G499">
            <v>1</v>
          </cell>
          <cell r="H499">
            <v>2</v>
          </cell>
        </row>
        <row r="500">
          <cell r="A500">
            <v>160070022</v>
          </cell>
          <cell r="B500" t="str">
            <v>秘银矿脉地图</v>
          </cell>
          <cell r="C500" t="str">
            <v>秘录卷轴</v>
          </cell>
          <cell r="D500">
            <v>2</v>
          </cell>
          <cell r="E500">
            <v>60</v>
          </cell>
          <cell r="F500">
            <v>7</v>
          </cell>
          <cell r="G500">
            <v>1</v>
          </cell>
          <cell r="H500">
            <v>1</v>
          </cell>
        </row>
        <row r="501">
          <cell r="A501">
            <v>160070023</v>
          </cell>
          <cell r="B501" t="str">
            <v>元素强化卷轴</v>
          </cell>
          <cell r="C501" t="str">
            <v>秘录卷轴</v>
          </cell>
          <cell r="D501">
            <v>2</v>
          </cell>
          <cell r="E501">
            <v>60</v>
          </cell>
          <cell r="F501">
            <v>7</v>
          </cell>
          <cell r="G501">
            <v>1</v>
          </cell>
          <cell r="H501">
            <v>1</v>
          </cell>
        </row>
        <row r="502">
          <cell r="A502">
            <v>160070024</v>
          </cell>
          <cell r="B502" t="str">
            <v>王城财务档案</v>
          </cell>
          <cell r="C502" t="str">
            <v>秘录卷轴</v>
          </cell>
          <cell r="D502">
            <v>2</v>
          </cell>
          <cell r="E502">
            <v>60</v>
          </cell>
          <cell r="F502">
            <v>7</v>
          </cell>
          <cell r="G502">
            <v>1</v>
          </cell>
          <cell r="H502">
            <v>1</v>
          </cell>
        </row>
        <row r="503">
          <cell r="A503">
            <v>160070025</v>
          </cell>
          <cell r="B503" t="str">
            <v>骑士团战术手册</v>
          </cell>
          <cell r="C503" t="str">
            <v>秘录卷轴</v>
          </cell>
          <cell r="D503">
            <v>2</v>
          </cell>
          <cell r="E503">
            <v>60</v>
          </cell>
          <cell r="F503">
            <v>7</v>
          </cell>
          <cell r="G503">
            <v>1</v>
          </cell>
          <cell r="H503">
            <v>2</v>
          </cell>
        </row>
        <row r="504">
          <cell r="A504">
            <v>160070026</v>
          </cell>
          <cell r="B504" t="str">
            <v>古代工艺笔记</v>
          </cell>
          <cell r="C504" t="str">
            <v>秘录卷轴</v>
          </cell>
          <cell r="D504">
            <v>2</v>
          </cell>
          <cell r="E504">
            <v>60</v>
          </cell>
          <cell r="F504">
            <v>7</v>
          </cell>
          <cell r="G504">
            <v>1</v>
          </cell>
          <cell r="H504">
            <v>2</v>
          </cell>
        </row>
        <row r="505">
          <cell r="A505">
            <v>160070027</v>
          </cell>
          <cell r="B505" t="str">
            <v>符文组件图纸</v>
          </cell>
          <cell r="C505" t="str">
            <v>秘录卷轴</v>
          </cell>
          <cell r="D505">
            <v>2</v>
          </cell>
          <cell r="E505">
            <v>60</v>
          </cell>
          <cell r="F505">
            <v>7</v>
          </cell>
          <cell r="G505">
            <v>1</v>
          </cell>
          <cell r="H505">
            <v>2</v>
          </cell>
        </row>
        <row r="506">
          <cell r="A506">
            <v>160070028</v>
          </cell>
          <cell r="B506" t="str">
            <v>能量储存卷</v>
          </cell>
          <cell r="C506" t="str">
            <v>秘录卷轴</v>
          </cell>
          <cell r="D506">
            <v>2</v>
          </cell>
          <cell r="E506">
            <v>60</v>
          </cell>
          <cell r="F506">
            <v>7</v>
          </cell>
          <cell r="G506">
            <v>1</v>
          </cell>
          <cell r="H506">
            <v>1</v>
          </cell>
        </row>
        <row r="507">
          <cell r="A507">
            <v>160070029</v>
          </cell>
          <cell r="B507" t="str">
            <v>航海航线图</v>
          </cell>
          <cell r="C507" t="str">
            <v>秘录卷轴</v>
          </cell>
          <cell r="D507">
            <v>2</v>
          </cell>
          <cell r="E507">
            <v>60</v>
          </cell>
          <cell r="F507">
            <v>7</v>
          </cell>
          <cell r="G507">
            <v>1</v>
          </cell>
          <cell r="H507">
            <v>2</v>
          </cell>
        </row>
        <row r="508">
          <cell r="A508">
            <v>160070030</v>
          </cell>
          <cell r="B508" t="str">
            <v>火焰附魔卷轴</v>
          </cell>
          <cell r="C508" t="str">
            <v>秘录卷轴</v>
          </cell>
          <cell r="D508">
            <v>2</v>
          </cell>
          <cell r="E508">
            <v>60</v>
          </cell>
          <cell r="F508">
            <v>7</v>
          </cell>
          <cell r="G508">
            <v>1</v>
          </cell>
          <cell r="H508">
            <v>1</v>
          </cell>
        </row>
        <row r="509">
          <cell r="A509">
            <v>160070031</v>
          </cell>
          <cell r="B509" t="str">
            <v>贵族密信集</v>
          </cell>
          <cell r="C509" t="str">
            <v>秘录卷轴</v>
          </cell>
          <cell r="D509">
            <v>2</v>
          </cell>
          <cell r="E509">
            <v>60</v>
          </cell>
          <cell r="F509">
            <v>7</v>
          </cell>
          <cell r="G509">
            <v>1</v>
          </cell>
          <cell r="H509">
            <v>1</v>
          </cell>
        </row>
        <row r="510">
          <cell r="A510">
            <v>160070032</v>
          </cell>
          <cell r="B510" t="str">
            <v>龙焰锻造卷轴</v>
          </cell>
          <cell r="C510" t="str">
            <v>秘录卷轴</v>
          </cell>
          <cell r="D510">
            <v>2</v>
          </cell>
          <cell r="E510">
            <v>60</v>
          </cell>
          <cell r="F510">
            <v>7</v>
          </cell>
          <cell r="G510">
            <v>1</v>
          </cell>
          <cell r="H510">
            <v>2</v>
          </cell>
        </row>
        <row r="511">
          <cell r="A511">
            <v>160070033</v>
          </cell>
          <cell r="B511" t="str">
            <v>天空航行地图</v>
          </cell>
          <cell r="C511" t="str">
            <v>秘录卷轴</v>
          </cell>
          <cell r="D511">
            <v>2</v>
          </cell>
          <cell r="E511">
            <v>60</v>
          </cell>
          <cell r="F511">
            <v>7</v>
          </cell>
          <cell r="G511">
            <v>3</v>
          </cell>
          <cell r="H511">
            <v>2</v>
          </cell>
        </row>
        <row r="512">
          <cell r="A512">
            <v>160070034</v>
          </cell>
          <cell r="B512" t="str">
            <v>元素融合卷轴</v>
          </cell>
          <cell r="C512" t="str">
            <v>秘录卷轴</v>
          </cell>
          <cell r="D512">
            <v>2</v>
          </cell>
          <cell r="E512">
            <v>60</v>
          </cell>
          <cell r="F512">
            <v>7</v>
          </cell>
          <cell r="G512">
            <v>1</v>
          </cell>
          <cell r="H512">
            <v>1</v>
          </cell>
        </row>
        <row r="513">
          <cell r="A513">
            <v>160070035</v>
          </cell>
          <cell r="B513" t="str">
            <v>帝国战争总图</v>
          </cell>
          <cell r="C513" t="str">
            <v>秘录卷轴</v>
          </cell>
          <cell r="D513">
            <v>2</v>
          </cell>
          <cell r="E513">
            <v>60</v>
          </cell>
          <cell r="F513">
            <v>7</v>
          </cell>
          <cell r="G513">
            <v>4</v>
          </cell>
          <cell r="H513">
            <v>3</v>
          </cell>
        </row>
        <row r="514">
          <cell r="A514">
            <v>160070036</v>
          </cell>
          <cell r="B514" t="str">
            <v>远古文明记录卷</v>
          </cell>
          <cell r="C514" t="str">
            <v>秘录卷轴</v>
          </cell>
          <cell r="D514">
            <v>2</v>
          </cell>
          <cell r="E514">
            <v>60</v>
          </cell>
          <cell r="F514">
            <v>7</v>
          </cell>
          <cell r="G514">
            <v>1</v>
          </cell>
          <cell r="H514">
            <v>1</v>
          </cell>
        </row>
        <row r="515">
          <cell r="A515">
            <v>160070037</v>
          </cell>
          <cell r="B515" t="str">
            <v>王位继承密令</v>
          </cell>
          <cell r="C515" t="str">
            <v>秘录卷轴</v>
          </cell>
          <cell r="D515">
            <v>2</v>
          </cell>
          <cell r="E515">
            <v>60</v>
          </cell>
          <cell r="F515">
            <v>7</v>
          </cell>
          <cell r="G515">
            <v>1</v>
          </cell>
          <cell r="H515">
            <v>1</v>
          </cell>
        </row>
        <row r="516">
          <cell r="A516">
            <v>160070038</v>
          </cell>
          <cell r="B516" t="str">
            <v>高级符文核心图</v>
          </cell>
          <cell r="C516" t="str">
            <v>秘录卷轴</v>
          </cell>
          <cell r="D516">
            <v>2</v>
          </cell>
          <cell r="E516">
            <v>60</v>
          </cell>
          <cell r="F516">
            <v>7</v>
          </cell>
          <cell r="G516">
            <v>2</v>
          </cell>
          <cell r="H516">
            <v>2</v>
          </cell>
        </row>
        <row r="517">
          <cell r="A517">
            <v>160070039</v>
          </cell>
          <cell r="B517" t="str">
            <v>深渊能量封印卷</v>
          </cell>
          <cell r="C517" t="str">
            <v>秘录卷轴</v>
          </cell>
          <cell r="D517">
            <v>2</v>
          </cell>
          <cell r="E517">
            <v>60</v>
          </cell>
          <cell r="F517">
            <v>7</v>
          </cell>
          <cell r="G517">
            <v>1</v>
          </cell>
          <cell r="H517">
            <v>1</v>
          </cell>
        </row>
        <row r="518">
          <cell r="A518">
            <v>160070040</v>
          </cell>
          <cell r="B518" t="str">
            <v>星象定位图</v>
          </cell>
          <cell r="C518" t="str">
            <v>秘录卷轴</v>
          </cell>
          <cell r="D518">
            <v>2</v>
          </cell>
          <cell r="E518">
            <v>60</v>
          </cell>
          <cell r="F518">
            <v>7</v>
          </cell>
          <cell r="G518">
            <v>1</v>
          </cell>
          <cell r="H518">
            <v>1</v>
          </cell>
        </row>
        <row r="519">
          <cell r="A519">
            <v>160070041</v>
          </cell>
          <cell r="B519" t="str">
            <v>高阶召唤契约卷</v>
          </cell>
          <cell r="C519" t="str">
            <v>秘录卷轴</v>
          </cell>
          <cell r="D519">
            <v>2</v>
          </cell>
          <cell r="E519">
            <v>60</v>
          </cell>
          <cell r="F519">
            <v>7</v>
          </cell>
          <cell r="G519">
            <v>1</v>
          </cell>
          <cell r="H519">
            <v>1</v>
          </cell>
        </row>
        <row r="520">
          <cell r="A520">
            <v>160070042</v>
          </cell>
          <cell r="B520" t="str">
            <v>诸神之战记录</v>
          </cell>
          <cell r="C520" t="str">
            <v>秘录卷轴</v>
          </cell>
          <cell r="D520">
            <v>2</v>
          </cell>
          <cell r="E520">
            <v>60</v>
          </cell>
          <cell r="F520">
            <v>7</v>
          </cell>
          <cell r="G520">
            <v>1</v>
          </cell>
          <cell r="H520">
            <v>1</v>
          </cell>
        </row>
        <row r="521">
          <cell r="A521">
            <v>500000</v>
          </cell>
          <cell r="B521" t="str">
            <v>测试武器核心</v>
          </cell>
        </row>
        <row r="521">
          <cell r="D521">
            <v>2</v>
          </cell>
          <cell r="E521">
            <v>40</v>
          </cell>
          <cell r="F521">
            <v>0</v>
          </cell>
        </row>
        <row r="522">
          <cell r="A522">
            <v>230000000</v>
          </cell>
          <cell r="B522" t="str">
            <v>镐子</v>
          </cell>
        </row>
        <row r="522">
          <cell r="D522">
            <v>2</v>
          </cell>
          <cell r="E522">
            <v>30</v>
          </cell>
          <cell r="F522">
            <v>0</v>
          </cell>
        </row>
        <row r="523">
          <cell r="A523">
            <v>230010000</v>
          </cell>
          <cell r="B523" t="str">
            <v>剑（粗糙）</v>
          </cell>
        </row>
        <row r="523">
          <cell r="D523">
            <v>2</v>
          </cell>
          <cell r="E523">
            <v>30</v>
          </cell>
          <cell r="F523">
            <v>1</v>
          </cell>
        </row>
        <row r="524">
          <cell r="A524">
            <v>230010100</v>
          </cell>
          <cell r="B524" t="str">
            <v>剑（普通）</v>
          </cell>
        </row>
        <row r="524">
          <cell r="D524">
            <v>2</v>
          </cell>
          <cell r="E524">
            <v>30</v>
          </cell>
          <cell r="F524">
            <v>1</v>
          </cell>
        </row>
        <row r="525">
          <cell r="A525">
            <v>230010200</v>
          </cell>
          <cell r="B525" t="str">
            <v>剑（优秀）</v>
          </cell>
        </row>
        <row r="525">
          <cell r="D525">
            <v>2</v>
          </cell>
          <cell r="E525">
            <v>30</v>
          </cell>
          <cell r="F525">
            <v>1</v>
          </cell>
        </row>
        <row r="526">
          <cell r="A526">
            <v>230010300</v>
          </cell>
          <cell r="B526" t="str">
            <v>剑（精良）</v>
          </cell>
        </row>
        <row r="526">
          <cell r="D526">
            <v>2</v>
          </cell>
          <cell r="E526">
            <v>30</v>
          </cell>
          <cell r="F526">
            <v>1</v>
          </cell>
        </row>
        <row r="527">
          <cell r="A527">
            <v>230010400</v>
          </cell>
          <cell r="B527" t="str">
            <v>剑（卓越）</v>
          </cell>
        </row>
        <row r="527">
          <cell r="D527">
            <v>2</v>
          </cell>
          <cell r="E527">
            <v>30</v>
          </cell>
          <cell r="F527">
            <v>1</v>
          </cell>
        </row>
        <row r="528">
          <cell r="A528">
            <v>230010500</v>
          </cell>
          <cell r="B528" t="str">
            <v>剑（完美）</v>
          </cell>
        </row>
        <row r="528">
          <cell r="D528">
            <v>2</v>
          </cell>
          <cell r="E528">
            <v>30</v>
          </cell>
          <cell r="F528">
            <v>1</v>
          </cell>
        </row>
        <row r="529">
          <cell r="A529">
            <v>230020000</v>
          </cell>
          <cell r="B529" t="str">
            <v>斧（粗糙）</v>
          </cell>
        </row>
        <row r="529">
          <cell r="D529">
            <v>2</v>
          </cell>
          <cell r="E529">
            <v>30</v>
          </cell>
          <cell r="F529">
            <v>2</v>
          </cell>
        </row>
        <row r="530">
          <cell r="A530">
            <v>230020100</v>
          </cell>
          <cell r="B530" t="str">
            <v>斧（普通）</v>
          </cell>
        </row>
        <row r="530">
          <cell r="D530">
            <v>2</v>
          </cell>
          <cell r="E530">
            <v>30</v>
          </cell>
          <cell r="F530">
            <v>2</v>
          </cell>
        </row>
        <row r="531">
          <cell r="A531">
            <v>230020200</v>
          </cell>
          <cell r="B531" t="str">
            <v>斧（优秀）</v>
          </cell>
        </row>
        <row r="531">
          <cell r="D531">
            <v>2</v>
          </cell>
          <cell r="E531">
            <v>30</v>
          </cell>
          <cell r="F531">
            <v>2</v>
          </cell>
        </row>
        <row r="532">
          <cell r="A532">
            <v>230020300</v>
          </cell>
          <cell r="B532" t="str">
            <v>斧（精良）</v>
          </cell>
        </row>
        <row r="532">
          <cell r="D532">
            <v>2</v>
          </cell>
          <cell r="E532">
            <v>30</v>
          </cell>
          <cell r="F532">
            <v>2</v>
          </cell>
        </row>
        <row r="533">
          <cell r="A533">
            <v>230020400</v>
          </cell>
          <cell r="B533" t="str">
            <v>斧（卓越）</v>
          </cell>
        </row>
        <row r="533">
          <cell r="D533">
            <v>2</v>
          </cell>
          <cell r="E533">
            <v>30</v>
          </cell>
          <cell r="F533">
            <v>2</v>
          </cell>
        </row>
        <row r="534">
          <cell r="A534">
            <v>230020500</v>
          </cell>
          <cell r="B534" t="str">
            <v>斧（完美）</v>
          </cell>
        </row>
        <row r="534">
          <cell r="D534">
            <v>2</v>
          </cell>
          <cell r="E534">
            <v>30</v>
          </cell>
          <cell r="F534">
            <v>2</v>
          </cell>
        </row>
        <row r="535">
          <cell r="A535">
            <v>230030000</v>
          </cell>
          <cell r="B535" t="str">
            <v>长枪（粗糙）</v>
          </cell>
        </row>
        <row r="535">
          <cell r="D535">
            <v>2</v>
          </cell>
          <cell r="E535">
            <v>30</v>
          </cell>
          <cell r="F535">
            <v>3</v>
          </cell>
        </row>
        <row r="536">
          <cell r="A536">
            <v>230030100</v>
          </cell>
          <cell r="B536" t="str">
            <v>长枪（普通）</v>
          </cell>
        </row>
        <row r="536">
          <cell r="D536">
            <v>2</v>
          </cell>
          <cell r="E536">
            <v>30</v>
          </cell>
          <cell r="F536">
            <v>3</v>
          </cell>
        </row>
        <row r="537">
          <cell r="A537">
            <v>230030200</v>
          </cell>
          <cell r="B537" t="str">
            <v>长枪（优秀）</v>
          </cell>
        </row>
        <row r="537">
          <cell r="D537">
            <v>2</v>
          </cell>
          <cell r="E537">
            <v>30</v>
          </cell>
          <cell r="F537">
            <v>3</v>
          </cell>
        </row>
        <row r="538">
          <cell r="A538">
            <v>230030300</v>
          </cell>
          <cell r="B538" t="str">
            <v>长枪（精良）</v>
          </cell>
        </row>
        <row r="538">
          <cell r="D538">
            <v>2</v>
          </cell>
          <cell r="E538">
            <v>30</v>
          </cell>
          <cell r="F538">
            <v>3</v>
          </cell>
        </row>
        <row r="539">
          <cell r="A539">
            <v>230030400</v>
          </cell>
          <cell r="B539" t="str">
            <v>长枪（卓越）</v>
          </cell>
        </row>
        <row r="539">
          <cell r="D539">
            <v>2</v>
          </cell>
          <cell r="E539">
            <v>30</v>
          </cell>
          <cell r="F539">
            <v>3</v>
          </cell>
        </row>
        <row r="540">
          <cell r="A540">
            <v>230030500</v>
          </cell>
          <cell r="B540" t="str">
            <v>长枪（完美）</v>
          </cell>
        </row>
        <row r="540">
          <cell r="D540">
            <v>2</v>
          </cell>
          <cell r="E540">
            <v>30</v>
          </cell>
          <cell r="F540">
            <v>3</v>
          </cell>
        </row>
        <row r="541">
          <cell r="A541">
            <v>230040000</v>
          </cell>
          <cell r="B541" t="str">
            <v>双刀（粗糙）</v>
          </cell>
        </row>
        <row r="541">
          <cell r="D541">
            <v>2</v>
          </cell>
          <cell r="E541">
            <v>30</v>
          </cell>
          <cell r="F541">
            <v>4</v>
          </cell>
        </row>
        <row r="542">
          <cell r="A542">
            <v>230040100</v>
          </cell>
          <cell r="B542" t="str">
            <v>双刀（普通）</v>
          </cell>
        </row>
        <row r="542">
          <cell r="D542">
            <v>2</v>
          </cell>
          <cell r="E542">
            <v>30</v>
          </cell>
          <cell r="F542">
            <v>4</v>
          </cell>
        </row>
        <row r="543">
          <cell r="A543">
            <v>230040200</v>
          </cell>
          <cell r="B543" t="str">
            <v>双刀（优秀）</v>
          </cell>
        </row>
        <row r="543">
          <cell r="D543">
            <v>2</v>
          </cell>
          <cell r="E543">
            <v>30</v>
          </cell>
          <cell r="F543">
            <v>4</v>
          </cell>
        </row>
        <row r="544">
          <cell r="A544">
            <v>230040300</v>
          </cell>
          <cell r="B544" t="str">
            <v>双刀（精良）</v>
          </cell>
        </row>
        <row r="544">
          <cell r="D544">
            <v>2</v>
          </cell>
          <cell r="E544">
            <v>30</v>
          </cell>
          <cell r="F544">
            <v>4</v>
          </cell>
        </row>
        <row r="545">
          <cell r="A545">
            <v>230040400</v>
          </cell>
          <cell r="B545" t="str">
            <v>双刀（卓越）</v>
          </cell>
        </row>
        <row r="545">
          <cell r="D545">
            <v>2</v>
          </cell>
          <cell r="E545">
            <v>30</v>
          </cell>
          <cell r="F545">
            <v>4</v>
          </cell>
        </row>
        <row r="546">
          <cell r="A546">
            <v>230040500</v>
          </cell>
          <cell r="B546" t="str">
            <v>双刀（完美）</v>
          </cell>
        </row>
        <row r="546">
          <cell r="D546">
            <v>2</v>
          </cell>
          <cell r="E546">
            <v>30</v>
          </cell>
          <cell r="F546">
            <v>4</v>
          </cell>
        </row>
        <row r="547">
          <cell r="A547">
            <v>230050000</v>
          </cell>
          <cell r="B547" t="str">
            <v>法杖（粗糙）</v>
          </cell>
        </row>
        <row r="547">
          <cell r="D547">
            <v>2</v>
          </cell>
          <cell r="E547">
            <v>30</v>
          </cell>
          <cell r="F547">
            <v>5</v>
          </cell>
        </row>
        <row r="548">
          <cell r="A548">
            <v>230050100</v>
          </cell>
          <cell r="B548" t="str">
            <v>法杖（普通）</v>
          </cell>
        </row>
        <row r="548">
          <cell r="D548">
            <v>2</v>
          </cell>
          <cell r="E548">
            <v>30</v>
          </cell>
          <cell r="F548">
            <v>5</v>
          </cell>
        </row>
        <row r="549">
          <cell r="A549">
            <v>230050200</v>
          </cell>
          <cell r="B549" t="str">
            <v>法杖（优秀）</v>
          </cell>
        </row>
        <row r="549">
          <cell r="D549">
            <v>2</v>
          </cell>
          <cell r="E549">
            <v>30</v>
          </cell>
          <cell r="F549">
            <v>5</v>
          </cell>
        </row>
        <row r="550">
          <cell r="A550">
            <v>230050300</v>
          </cell>
          <cell r="B550" t="str">
            <v>法杖（精良）</v>
          </cell>
        </row>
        <row r="550">
          <cell r="D550">
            <v>2</v>
          </cell>
          <cell r="E550">
            <v>30</v>
          </cell>
          <cell r="F550">
            <v>5</v>
          </cell>
        </row>
        <row r="551">
          <cell r="A551">
            <v>230050400</v>
          </cell>
          <cell r="B551" t="str">
            <v>法杖（卓越）</v>
          </cell>
        </row>
        <row r="551">
          <cell r="D551">
            <v>2</v>
          </cell>
          <cell r="E551">
            <v>30</v>
          </cell>
          <cell r="F551">
            <v>5</v>
          </cell>
        </row>
        <row r="552">
          <cell r="A552">
            <v>230050500</v>
          </cell>
          <cell r="B552" t="str">
            <v>法杖（完美）</v>
          </cell>
        </row>
        <row r="552">
          <cell r="D552">
            <v>2</v>
          </cell>
          <cell r="E552">
            <v>30</v>
          </cell>
          <cell r="F552">
            <v>5</v>
          </cell>
        </row>
        <row r="553">
          <cell r="A553">
            <v>230060000</v>
          </cell>
          <cell r="B553" t="str">
            <v>法球（粗糙）</v>
          </cell>
        </row>
        <row r="553">
          <cell r="D553">
            <v>2</v>
          </cell>
          <cell r="E553">
            <v>30</v>
          </cell>
          <cell r="F553">
            <v>6</v>
          </cell>
        </row>
        <row r="554">
          <cell r="A554">
            <v>230060100</v>
          </cell>
          <cell r="B554" t="str">
            <v>法球（普通）</v>
          </cell>
        </row>
        <row r="554">
          <cell r="D554">
            <v>2</v>
          </cell>
          <cell r="E554">
            <v>30</v>
          </cell>
          <cell r="F554">
            <v>6</v>
          </cell>
        </row>
        <row r="555">
          <cell r="A555">
            <v>230060200</v>
          </cell>
          <cell r="B555" t="str">
            <v>法球（优秀）</v>
          </cell>
        </row>
        <row r="555">
          <cell r="D555">
            <v>2</v>
          </cell>
          <cell r="E555">
            <v>30</v>
          </cell>
          <cell r="F555">
            <v>6</v>
          </cell>
        </row>
        <row r="556">
          <cell r="A556">
            <v>230060300</v>
          </cell>
          <cell r="B556" t="str">
            <v>法球（精良）</v>
          </cell>
        </row>
        <row r="556">
          <cell r="D556">
            <v>2</v>
          </cell>
          <cell r="E556">
            <v>30</v>
          </cell>
          <cell r="F556">
            <v>6</v>
          </cell>
        </row>
        <row r="557">
          <cell r="A557">
            <v>230060400</v>
          </cell>
          <cell r="B557" t="str">
            <v>法球（卓越）</v>
          </cell>
        </row>
        <row r="557">
          <cell r="D557">
            <v>2</v>
          </cell>
          <cell r="E557">
            <v>30</v>
          </cell>
          <cell r="F557">
            <v>6</v>
          </cell>
        </row>
        <row r="558">
          <cell r="A558">
            <v>230060500</v>
          </cell>
          <cell r="B558" t="str">
            <v>法球（完美）</v>
          </cell>
        </row>
        <row r="558">
          <cell r="D558">
            <v>2</v>
          </cell>
          <cell r="E558">
            <v>30</v>
          </cell>
          <cell r="F558">
            <v>6</v>
          </cell>
        </row>
        <row r="559">
          <cell r="A559">
            <v>230070000</v>
          </cell>
          <cell r="B559" t="str">
            <v>弓（粗糙）</v>
          </cell>
        </row>
        <row r="559">
          <cell r="D559">
            <v>2</v>
          </cell>
          <cell r="E559">
            <v>30</v>
          </cell>
          <cell r="F559">
            <v>7</v>
          </cell>
        </row>
        <row r="560">
          <cell r="A560">
            <v>230070100</v>
          </cell>
          <cell r="B560" t="str">
            <v>弓（普通）</v>
          </cell>
        </row>
        <row r="560">
          <cell r="D560">
            <v>2</v>
          </cell>
          <cell r="E560">
            <v>30</v>
          </cell>
          <cell r="F560">
            <v>7</v>
          </cell>
        </row>
        <row r="561">
          <cell r="A561">
            <v>230070200</v>
          </cell>
          <cell r="B561" t="str">
            <v>弓（优秀）</v>
          </cell>
        </row>
        <row r="561">
          <cell r="D561">
            <v>2</v>
          </cell>
          <cell r="E561">
            <v>30</v>
          </cell>
          <cell r="F561">
            <v>7</v>
          </cell>
        </row>
        <row r="562">
          <cell r="A562">
            <v>230070300</v>
          </cell>
          <cell r="B562" t="str">
            <v>弓（精良）</v>
          </cell>
        </row>
        <row r="562">
          <cell r="D562">
            <v>2</v>
          </cell>
          <cell r="E562">
            <v>30</v>
          </cell>
          <cell r="F562">
            <v>7</v>
          </cell>
        </row>
        <row r="563">
          <cell r="A563">
            <v>230070400</v>
          </cell>
          <cell r="B563" t="str">
            <v>弓（卓越）</v>
          </cell>
        </row>
        <row r="563">
          <cell r="D563">
            <v>2</v>
          </cell>
          <cell r="E563">
            <v>30</v>
          </cell>
          <cell r="F563">
            <v>7</v>
          </cell>
        </row>
        <row r="564">
          <cell r="A564">
            <v>230070500</v>
          </cell>
          <cell r="B564" t="str">
            <v>弓（完美）</v>
          </cell>
        </row>
        <row r="564">
          <cell r="D564">
            <v>2</v>
          </cell>
          <cell r="E564">
            <v>30</v>
          </cell>
          <cell r="F564">
            <v>7</v>
          </cell>
        </row>
        <row r="565">
          <cell r="A565">
            <v>231000001</v>
          </cell>
          <cell r="B565" t="str">
            <v>麻布头巾</v>
          </cell>
        </row>
        <row r="565">
          <cell r="D565">
            <v>2</v>
          </cell>
          <cell r="E565">
            <v>31</v>
          </cell>
        </row>
        <row r="566">
          <cell r="A566">
            <v>231000002</v>
          </cell>
          <cell r="B566" t="str">
            <v>牛角皮盔</v>
          </cell>
        </row>
        <row r="566">
          <cell r="D566">
            <v>2</v>
          </cell>
          <cell r="E566">
            <v>31</v>
          </cell>
        </row>
        <row r="567">
          <cell r="A567">
            <v>231000003</v>
          </cell>
          <cell r="B567" t="str">
            <v>精铁头盔</v>
          </cell>
        </row>
        <row r="567">
          <cell r="D567">
            <v>2</v>
          </cell>
          <cell r="E567">
            <v>31</v>
          </cell>
        </row>
        <row r="568">
          <cell r="A568">
            <v>231000004</v>
          </cell>
          <cell r="B568" t="str">
            <v>守卫重盔</v>
          </cell>
        </row>
        <row r="568">
          <cell r="D568">
            <v>2</v>
          </cell>
          <cell r="E568">
            <v>31</v>
          </cell>
        </row>
        <row r="569">
          <cell r="A569">
            <v>231000005</v>
          </cell>
          <cell r="B569" t="str">
            <v>角斗士战盔</v>
          </cell>
        </row>
        <row r="569">
          <cell r="D569">
            <v>2</v>
          </cell>
          <cell r="E569">
            <v>31</v>
          </cell>
        </row>
        <row r="570">
          <cell r="A570">
            <v>231000006</v>
          </cell>
          <cell r="B570" t="str">
            <v>追猎者羽饰</v>
          </cell>
        </row>
        <row r="570">
          <cell r="D570">
            <v>2</v>
          </cell>
          <cell r="E570">
            <v>31</v>
          </cell>
        </row>
        <row r="571">
          <cell r="A571">
            <v>231000007</v>
          </cell>
          <cell r="B571" t="str">
            <v>磐石之首</v>
          </cell>
        </row>
        <row r="571">
          <cell r="D571">
            <v>2</v>
          </cell>
          <cell r="E571">
            <v>31</v>
          </cell>
        </row>
        <row r="572">
          <cell r="A572">
            <v>231000008</v>
          </cell>
          <cell r="B572" t="str">
            <v>无畏勇士战盔</v>
          </cell>
        </row>
        <row r="572">
          <cell r="D572">
            <v>2</v>
          </cell>
          <cell r="E572">
            <v>31</v>
          </cell>
        </row>
        <row r="573">
          <cell r="A573">
            <v>231000009</v>
          </cell>
          <cell r="B573" t="str">
            <v>夜幕隐者兜帽</v>
          </cell>
        </row>
        <row r="573">
          <cell r="D573">
            <v>2</v>
          </cell>
          <cell r="E573">
            <v>31</v>
          </cell>
        </row>
        <row r="574">
          <cell r="A574">
            <v>231000010</v>
          </cell>
          <cell r="B574" t="str">
            <v>山丘之王重盔</v>
          </cell>
        </row>
        <row r="574">
          <cell r="D574">
            <v>2</v>
          </cell>
          <cell r="E574">
            <v>31</v>
          </cell>
        </row>
        <row r="575">
          <cell r="A575">
            <v>231000011</v>
          </cell>
          <cell r="B575" t="str">
            <v>无尽怒火战盔</v>
          </cell>
        </row>
        <row r="575">
          <cell r="D575">
            <v>2</v>
          </cell>
          <cell r="E575">
            <v>31</v>
          </cell>
        </row>
        <row r="576">
          <cell r="A576">
            <v>231000012</v>
          </cell>
          <cell r="B576" t="str">
            <v>弑君者兜帽</v>
          </cell>
        </row>
        <row r="576">
          <cell r="D576">
            <v>2</v>
          </cell>
          <cell r="E576">
            <v>31</v>
          </cell>
        </row>
        <row r="577">
          <cell r="A577">
            <v>232000001</v>
          </cell>
          <cell r="B577" t="str">
            <v>简易布甲</v>
          </cell>
        </row>
        <row r="577">
          <cell r="D577">
            <v>2</v>
          </cell>
          <cell r="E577">
            <v>32</v>
          </cell>
        </row>
        <row r="578">
          <cell r="A578">
            <v>232000002</v>
          </cell>
          <cell r="B578" t="str">
            <v>硬皮甲</v>
          </cell>
        </row>
        <row r="578">
          <cell r="D578">
            <v>2</v>
          </cell>
          <cell r="E578">
            <v>32</v>
          </cell>
        </row>
        <row r="579">
          <cell r="A579">
            <v>232000003</v>
          </cell>
          <cell r="B579" t="str">
            <v>铁质锁甲</v>
          </cell>
        </row>
        <row r="579">
          <cell r="D579">
            <v>2</v>
          </cell>
          <cell r="E579">
            <v>32</v>
          </cell>
        </row>
        <row r="580">
          <cell r="A580">
            <v>232000004</v>
          </cell>
          <cell r="B580" t="str">
            <v>守卫重甲</v>
          </cell>
        </row>
        <row r="580">
          <cell r="D580">
            <v>2</v>
          </cell>
          <cell r="E580">
            <v>32</v>
          </cell>
        </row>
        <row r="581">
          <cell r="A581">
            <v>232000005</v>
          </cell>
          <cell r="B581" t="str">
            <v>角斗士护胸</v>
          </cell>
        </row>
        <row r="581">
          <cell r="D581">
            <v>2</v>
          </cell>
          <cell r="E581">
            <v>32</v>
          </cell>
        </row>
        <row r="582">
          <cell r="A582">
            <v>232000006</v>
          </cell>
          <cell r="B582" t="str">
            <v>追猎者皮甲</v>
          </cell>
        </row>
        <row r="582">
          <cell r="D582">
            <v>2</v>
          </cell>
          <cell r="E582">
            <v>32</v>
          </cell>
        </row>
        <row r="583">
          <cell r="A583">
            <v>232000007</v>
          </cell>
          <cell r="B583" t="str">
            <v>磐石之躯</v>
          </cell>
        </row>
        <row r="583">
          <cell r="D583">
            <v>2</v>
          </cell>
          <cell r="E583">
            <v>32</v>
          </cell>
        </row>
        <row r="584">
          <cell r="A584">
            <v>232000008</v>
          </cell>
          <cell r="B584" t="str">
            <v>无畏勇士战甲</v>
          </cell>
        </row>
        <row r="584">
          <cell r="D584">
            <v>2</v>
          </cell>
          <cell r="E584">
            <v>32</v>
          </cell>
        </row>
        <row r="585">
          <cell r="A585">
            <v>232000009</v>
          </cell>
          <cell r="B585" t="str">
            <v>夜幕隐者斗篷</v>
          </cell>
        </row>
        <row r="585">
          <cell r="D585">
            <v>2</v>
          </cell>
          <cell r="E585">
            <v>32</v>
          </cell>
        </row>
        <row r="586">
          <cell r="A586">
            <v>232000010</v>
          </cell>
          <cell r="B586" t="str">
            <v>山丘之王甲胄</v>
          </cell>
        </row>
        <row r="586">
          <cell r="D586">
            <v>2</v>
          </cell>
          <cell r="E586">
            <v>32</v>
          </cell>
        </row>
        <row r="587">
          <cell r="A587">
            <v>232000011</v>
          </cell>
          <cell r="B587" t="str">
            <v>无尽怒火战甲</v>
          </cell>
        </row>
        <row r="587">
          <cell r="D587">
            <v>2</v>
          </cell>
          <cell r="E587">
            <v>32</v>
          </cell>
        </row>
        <row r="588">
          <cell r="A588">
            <v>232000012</v>
          </cell>
          <cell r="B588" t="str">
            <v>弑君者斗篷</v>
          </cell>
        </row>
        <row r="588">
          <cell r="D588">
            <v>2</v>
          </cell>
          <cell r="E588">
            <v>32</v>
          </cell>
        </row>
        <row r="589">
          <cell r="A589">
            <v>233000001</v>
          </cell>
          <cell r="B589" t="str">
            <v>破旧布靴</v>
          </cell>
        </row>
        <row r="589">
          <cell r="D589">
            <v>2</v>
          </cell>
          <cell r="E589">
            <v>33</v>
          </cell>
        </row>
        <row r="590">
          <cell r="A590">
            <v>233000002</v>
          </cell>
          <cell r="B590" t="str">
            <v>轻便皮靴</v>
          </cell>
        </row>
        <row r="590">
          <cell r="D590">
            <v>2</v>
          </cell>
          <cell r="E590">
            <v>33</v>
          </cell>
        </row>
        <row r="591">
          <cell r="A591">
            <v>233000003</v>
          </cell>
          <cell r="B591" t="str">
            <v>铁甲战靴</v>
          </cell>
        </row>
        <row r="591">
          <cell r="D591">
            <v>2</v>
          </cell>
          <cell r="E591">
            <v>33</v>
          </cell>
        </row>
        <row r="592">
          <cell r="A592">
            <v>233000004</v>
          </cell>
          <cell r="B592" t="str">
            <v>守卫重靴</v>
          </cell>
        </row>
        <row r="592">
          <cell r="D592">
            <v>2</v>
          </cell>
          <cell r="E592">
            <v>33</v>
          </cell>
        </row>
        <row r="593">
          <cell r="A593">
            <v>233000005</v>
          </cell>
          <cell r="B593" t="str">
            <v>角斗士战靴</v>
          </cell>
        </row>
        <row r="593">
          <cell r="D593">
            <v>2</v>
          </cell>
          <cell r="E593">
            <v>33</v>
          </cell>
        </row>
        <row r="594">
          <cell r="A594">
            <v>233000006</v>
          </cell>
          <cell r="B594" t="str">
            <v>追猎者皮靴</v>
          </cell>
        </row>
        <row r="594">
          <cell r="D594">
            <v>2</v>
          </cell>
          <cell r="E594">
            <v>33</v>
          </cell>
        </row>
        <row r="595">
          <cell r="A595">
            <v>233000007</v>
          </cell>
          <cell r="B595" t="str">
            <v>磐石之足</v>
          </cell>
        </row>
        <row r="595">
          <cell r="D595">
            <v>2</v>
          </cell>
          <cell r="E595">
            <v>33</v>
          </cell>
        </row>
        <row r="596">
          <cell r="A596">
            <v>233000008</v>
          </cell>
          <cell r="B596" t="str">
            <v>无畏勇士战靴</v>
          </cell>
        </row>
        <row r="596">
          <cell r="D596">
            <v>2</v>
          </cell>
          <cell r="E596">
            <v>33</v>
          </cell>
        </row>
        <row r="597">
          <cell r="A597">
            <v>233000009</v>
          </cell>
          <cell r="B597" t="str">
            <v>夜幕隐者皮靴</v>
          </cell>
        </row>
        <row r="597">
          <cell r="D597">
            <v>2</v>
          </cell>
          <cell r="E597">
            <v>33</v>
          </cell>
        </row>
        <row r="598">
          <cell r="A598">
            <v>233000010</v>
          </cell>
          <cell r="B598" t="str">
            <v>山丘之王重靴</v>
          </cell>
        </row>
        <row r="598">
          <cell r="D598">
            <v>2</v>
          </cell>
          <cell r="E598">
            <v>33</v>
          </cell>
        </row>
        <row r="599">
          <cell r="A599">
            <v>233000011</v>
          </cell>
          <cell r="B599" t="str">
            <v>无尽怒火战靴</v>
          </cell>
        </row>
        <row r="599">
          <cell r="D599">
            <v>2</v>
          </cell>
          <cell r="E599">
            <v>33</v>
          </cell>
        </row>
        <row r="600">
          <cell r="A600">
            <v>233000012</v>
          </cell>
          <cell r="B600" t="str">
            <v>弑君者足具</v>
          </cell>
        </row>
        <row r="600">
          <cell r="D600">
            <v>2</v>
          </cell>
          <cell r="E600">
            <v>33</v>
          </cell>
        </row>
        <row r="601">
          <cell r="A601">
            <v>290000001</v>
          </cell>
          <cell r="B601" t="str">
            <v>雷神</v>
          </cell>
        </row>
        <row r="601">
          <cell r="D601">
            <v>2</v>
          </cell>
          <cell r="E601">
            <v>70</v>
          </cell>
        </row>
        <row r="602">
          <cell r="A602">
            <v>290000002</v>
          </cell>
          <cell r="B602" t="str">
            <v>雪女</v>
          </cell>
        </row>
        <row r="602">
          <cell r="D602">
            <v>2</v>
          </cell>
          <cell r="E602">
            <v>70</v>
          </cell>
        </row>
        <row r="603">
          <cell r="A603">
            <v>290000003</v>
          </cell>
          <cell r="B603" t="str">
            <v>圣光骑士</v>
          </cell>
        </row>
        <row r="603">
          <cell r="D603">
            <v>2</v>
          </cell>
          <cell r="E603">
            <v>70</v>
          </cell>
        </row>
        <row r="604">
          <cell r="A604">
            <v>290000004</v>
          </cell>
          <cell r="B604" t="str">
            <v>鬼手</v>
          </cell>
        </row>
        <row r="604">
          <cell r="D604">
            <v>2</v>
          </cell>
          <cell r="E604">
            <v>70</v>
          </cell>
        </row>
        <row r="605">
          <cell r="A605">
            <v>300100001</v>
          </cell>
          <cell r="B605" t="str">
            <v>作弊剑</v>
          </cell>
        </row>
        <row r="605">
          <cell r="D605">
            <v>2</v>
          </cell>
          <cell r="E605">
            <v>30</v>
          </cell>
        </row>
        <row r="606">
          <cell r="A606">
            <v>300100002</v>
          </cell>
          <cell r="B606" t="str">
            <v>作弊斧</v>
          </cell>
        </row>
        <row r="606">
          <cell r="D606">
            <v>2</v>
          </cell>
          <cell r="E606">
            <v>30</v>
          </cell>
        </row>
        <row r="607">
          <cell r="A607">
            <v>300100003</v>
          </cell>
          <cell r="B607" t="str">
            <v>作弊长枪</v>
          </cell>
        </row>
        <row r="607">
          <cell r="D607">
            <v>2</v>
          </cell>
          <cell r="E607">
            <v>30</v>
          </cell>
        </row>
        <row r="608">
          <cell r="A608">
            <v>300100004</v>
          </cell>
          <cell r="B608" t="str">
            <v>作弊双刀</v>
          </cell>
        </row>
        <row r="608">
          <cell r="D608">
            <v>2</v>
          </cell>
          <cell r="E608">
            <v>30</v>
          </cell>
        </row>
        <row r="609">
          <cell r="A609">
            <v>300100005</v>
          </cell>
          <cell r="B609" t="str">
            <v>作弊法杖</v>
          </cell>
        </row>
        <row r="609">
          <cell r="D609">
            <v>2</v>
          </cell>
          <cell r="E609">
            <v>30</v>
          </cell>
        </row>
        <row r="610">
          <cell r="A610">
            <v>300100006</v>
          </cell>
          <cell r="B610" t="str">
            <v>作弊法球</v>
          </cell>
        </row>
        <row r="610">
          <cell r="D610">
            <v>2</v>
          </cell>
          <cell r="E610">
            <v>30</v>
          </cell>
        </row>
        <row r="611">
          <cell r="A611">
            <v>300100007</v>
          </cell>
          <cell r="B611" t="str">
            <v>作弊弓</v>
          </cell>
        </row>
        <row r="611">
          <cell r="D611">
            <v>2</v>
          </cell>
          <cell r="E611">
            <v>30</v>
          </cell>
        </row>
        <row r="612">
          <cell r="A612">
            <v>300100008</v>
          </cell>
          <cell r="B612" t="str">
            <v>作弊头盔</v>
          </cell>
        </row>
        <row r="612">
          <cell r="D612">
            <v>2</v>
          </cell>
          <cell r="E612">
            <v>31</v>
          </cell>
        </row>
        <row r="613">
          <cell r="A613">
            <v>300100009</v>
          </cell>
          <cell r="B613" t="str">
            <v>作弊铠甲</v>
          </cell>
        </row>
        <row r="613">
          <cell r="D613">
            <v>2</v>
          </cell>
          <cell r="E613">
            <v>32</v>
          </cell>
        </row>
        <row r="614">
          <cell r="A614">
            <v>300100010</v>
          </cell>
          <cell r="B614" t="str">
            <v>作弊靴子</v>
          </cell>
        </row>
        <row r="614">
          <cell r="D614">
            <v>2</v>
          </cell>
          <cell r="E614">
            <v>33</v>
          </cell>
        </row>
        <row r="615">
          <cell r="A615">
            <v>300100011</v>
          </cell>
          <cell r="B615" t="str">
            <v>杂鱼剑</v>
          </cell>
        </row>
        <row r="615">
          <cell r="D615">
            <v>2</v>
          </cell>
          <cell r="E615">
            <v>30</v>
          </cell>
        </row>
        <row r="616">
          <cell r="A616">
            <v>300100012</v>
          </cell>
          <cell r="B616" t="str">
            <v>杂鱼斧</v>
          </cell>
        </row>
        <row r="616">
          <cell r="D616">
            <v>2</v>
          </cell>
          <cell r="E616">
            <v>30</v>
          </cell>
        </row>
        <row r="617">
          <cell r="A617">
            <v>300100013</v>
          </cell>
          <cell r="B617" t="str">
            <v>杂鱼长枪</v>
          </cell>
        </row>
        <row r="617">
          <cell r="D617">
            <v>2</v>
          </cell>
          <cell r="E617">
            <v>30</v>
          </cell>
        </row>
        <row r="618">
          <cell r="A618">
            <v>300100014</v>
          </cell>
          <cell r="B618" t="str">
            <v>杂鱼双刀</v>
          </cell>
        </row>
        <row r="618">
          <cell r="D618">
            <v>2</v>
          </cell>
          <cell r="E618">
            <v>30</v>
          </cell>
        </row>
        <row r="619">
          <cell r="A619">
            <v>300100015</v>
          </cell>
          <cell r="B619" t="str">
            <v>杂鱼法杖</v>
          </cell>
        </row>
        <row r="619">
          <cell r="D619">
            <v>2</v>
          </cell>
          <cell r="E619">
            <v>30</v>
          </cell>
        </row>
        <row r="620">
          <cell r="A620">
            <v>300100016</v>
          </cell>
          <cell r="B620" t="str">
            <v>杂鱼法球</v>
          </cell>
        </row>
        <row r="620">
          <cell r="D620">
            <v>2</v>
          </cell>
          <cell r="E620">
            <v>30</v>
          </cell>
        </row>
        <row r="621">
          <cell r="A621">
            <v>300100017</v>
          </cell>
          <cell r="B621" t="str">
            <v>杂鱼弓</v>
          </cell>
        </row>
        <row r="621">
          <cell r="D621">
            <v>2</v>
          </cell>
          <cell r="E621">
            <v>30</v>
          </cell>
        </row>
        <row r="622">
          <cell r="A622">
            <v>300100018</v>
          </cell>
          <cell r="B622" t="str">
            <v>施法速率</v>
          </cell>
        </row>
        <row r="622">
          <cell r="D622">
            <v>2</v>
          </cell>
          <cell r="E622">
            <v>33</v>
          </cell>
        </row>
        <row r="623">
          <cell r="A623">
            <v>300100019</v>
          </cell>
          <cell r="B623" t="str">
            <v>冷却速度</v>
          </cell>
        </row>
        <row r="623">
          <cell r="D623">
            <v>2</v>
          </cell>
          <cell r="E623">
            <v>33</v>
          </cell>
        </row>
        <row r="624">
          <cell r="A624">
            <v>300100020</v>
          </cell>
          <cell r="B624" t="str">
            <v>药物恢复加成</v>
          </cell>
        </row>
        <row r="624">
          <cell r="D624">
            <v>2</v>
          </cell>
          <cell r="E624">
            <v>33</v>
          </cell>
        </row>
        <row r="625">
          <cell r="A625">
            <v>300100021</v>
          </cell>
          <cell r="B625" t="str">
            <v>使用药物速度</v>
          </cell>
        </row>
        <row r="625">
          <cell r="D625">
            <v>2</v>
          </cell>
          <cell r="E625">
            <v>33</v>
          </cell>
        </row>
        <row r="626">
          <cell r="A626">
            <v>300100022</v>
          </cell>
          <cell r="B626" t="str">
            <v>受控抗性</v>
          </cell>
        </row>
        <row r="626">
          <cell r="D626">
            <v>2</v>
          </cell>
          <cell r="E626">
            <v>33</v>
          </cell>
        </row>
        <row r="627">
          <cell r="A627">
            <v>300100023</v>
          </cell>
          <cell r="B627" t="str">
            <v>伤害增加</v>
          </cell>
        </row>
        <row r="627">
          <cell r="D627">
            <v>2</v>
          </cell>
          <cell r="E627">
            <v>33</v>
          </cell>
        </row>
        <row r="628">
          <cell r="A628">
            <v>300100024</v>
          </cell>
          <cell r="B628" t="str">
            <v>伤害减免</v>
          </cell>
        </row>
        <row r="628">
          <cell r="D628">
            <v>2</v>
          </cell>
          <cell r="E628">
            <v>33</v>
          </cell>
        </row>
        <row r="629">
          <cell r="A629">
            <v>300100025</v>
          </cell>
          <cell r="B629" t="str">
            <v>武器普攻增伤</v>
          </cell>
        </row>
        <row r="629">
          <cell r="D629">
            <v>2</v>
          </cell>
          <cell r="E629">
            <v>33</v>
          </cell>
        </row>
        <row r="630">
          <cell r="A630">
            <v>300100026</v>
          </cell>
          <cell r="B630" t="str">
            <v>武器技能增伤</v>
          </cell>
        </row>
        <row r="630">
          <cell r="D630">
            <v>2</v>
          </cell>
          <cell r="E630">
            <v>33</v>
          </cell>
        </row>
        <row r="631">
          <cell r="A631">
            <v>300100027</v>
          </cell>
          <cell r="B631" t="str">
            <v>开门速度</v>
          </cell>
        </row>
        <row r="631">
          <cell r="D631">
            <v>2</v>
          </cell>
          <cell r="E631">
            <v>33</v>
          </cell>
        </row>
        <row r="632">
          <cell r="A632">
            <v>300100028</v>
          </cell>
          <cell r="B632" t="str">
            <v>搜索速度</v>
          </cell>
        </row>
        <row r="632">
          <cell r="D632">
            <v>2</v>
          </cell>
          <cell r="E632">
            <v>33</v>
          </cell>
        </row>
        <row r="633">
          <cell r="A633">
            <v>300100029</v>
          </cell>
          <cell r="B633" t="str">
            <v>倒地移动速度</v>
          </cell>
        </row>
        <row r="633">
          <cell r="D633">
            <v>2</v>
          </cell>
          <cell r="E633">
            <v>33</v>
          </cell>
        </row>
        <row r="634">
          <cell r="A634">
            <v>300100030</v>
          </cell>
          <cell r="B634" t="str">
            <v>救援速度</v>
          </cell>
        </row>
        <row r="634">
          <cell r="D634">
            <v>2</v>
          </cell>
          <cell r="E634">
            <v>33</v>
          </cell>
        </row>
        <row r="635">
          <cell r="A635">
            <v>300100031</v>
          </cell>
          <cell r="B635" t="str">
            <v>治疗加成</v>
          </cell>
        </row>
        <row r="635">
          <cell r="D635">
            <v>2</v>
          </cell>
          <cell r="E635">
            <v>33</v>
          </cell>
        </row>
        <row r="636">
          <cell r="A636">
            <v>300100032</v>
          </cell>
          <cell r="B636" t="str">
            <v>受疗加成</v>
          </cell>
        </row>
        <row r="636">
          <cell r="D636">
            <v>2</v>
          </cell>
          <cell r="E636">
            <v>33</v>
          </cell>
        </row>
        <row r="637">
          <cell r="A637">
            <v>300100033</v>
          </cell>
          <cell r="B637" t="str">
            <v>无视防御</v>
          </cell>
        </row>
        <row r="637">
          <cell r="D637">
            <v>2</v>
          </cell>
          <cell r="E637">
            <v>33</v>
          </cell>
        </row>
        <row r="638">
          <cell r="A638">
            <v>300100034</v>
          </cell>
          <cell r="B638" t="str">
            <v>破防率</v>
          </cell>
        </row>
        <row r="638">
          <cell r="D638">
            <v>2</v>
          </cell>
          <cell r="E638">
            <v>33</v>
          </cell>
        </row>
        <row r="639">
          <cell r="A639">
            <v>300100035</v>
          </cell>
          <cell r="B639" t="str">
            <v>吸血率</v>
          </cell>
        </row>
        <row r="639">
          <cell r="D639">
            <v>2</v>
          </cell>
          <cell r="E639">
            <v>33</v>
          </cell>
        </row>
        <row r="640">
          <cell r="A640">
            <v>300100036</v>
          </cell>
          <cell r="B640" t="str">
            <v>视野范围</v>
          </cell>
        </row>
        <row r="640">
          <cell r="D640">
            <v>2</v>
          </cell>
          <cell r="E640">
            <v>33</v>
          </cell>
        </row>
        <row r="641">
          <cell r="A641">
            <v>300100037</v>
          </cell>
          <cell r="B641" t="str">
            <v>濒死血量上限</v>
          </cell>
        </row>
        <row r="641">
          <cell r="D641">
            <v>2</v>
          </cell>
          <cell r="E641">
            <v>33</v>
          </cell>
        </row>
        <row r="642">
          <cell r="A642">
            <v>300100038</v>
          </cell>
          <cell r="B642" t="str">
            <v>技能强度</v>
          </cell>
        </row>
        <row r="642">
          <cell r="D642">
            <v>2</v>
          </cell>
          <cell r="E642">
            <v>33</v>
          </cell>
        </row>
        <row r="643">
          <cell r="A643">
            <v>300100039</v>
          </cell>
          <cell r="B643" t="str">
            <v>负施法速率</v>
          </cell>
        </row>
        <row r="643">
          <cell r="D643">
            <v>2</v>
          </cell>
          <cell r="E643">
            <v>33</v>
          </cell>
        </row>
        <row r="644">
          <cell r="A644">
            <v>300100040</v>
          </cell>
          <cell r="B644" t="str">
            <v>攻击速率</v>
          </cell>
        </row>
        <row r="644">
          <cell r="D644">
            <v>2</v>
          </cell>
          <cell r="E644">
            <v>33</v>
          </cell>
        </row>
        <row r="645">
          <cell r="A645">
            <v>300100041</v>
          </cell>
          <cell r="B645" t="str">
            <v>负攻击速率</v>
          </cell>
        </row>
        <row r="645">
          <cell r="D645">
            <v>2</v>
          </cell>
          <cell r="E645">
            <v>33</v>
          </cell>
        </row>
        <row r="646">
          <cell r="A646">
            <v>300100042</v>
          </cell>
          <cell r="B646" t="str">
            <v>施法速度</v>
          </cell>
        </row>
        <row r="646">
          <cell r="D646">
            <v>2</v>
          </cell>
          <cell r="E646">
            <v>33</v>
          </cell>
        </row>
        <row r="647">
          <cell r="A647">
            <v>300100043</v>
          </cell>
          <cell r="B647" t="str">
            <v>负施法速度</v>
          </cell>
        </row>
        <row r="647">
          <cell r="D647">
            <v>2</v>
          </cell>
          <cell r="E647">
            <v>33</v>
          </cell>
        </row>
        <row r="648">
          <cell r="A648">
            <v>300100044</v>
          </cell>
          <cell r="B648" t="str">
            <v>攻击速度</v>
          </cell>
        </row>
        <row r="648">
          <cell r="D648">
            <v>2</v>
          </cell>
          <cell r="E648">
            <v>33</v>
          </cell>
        </row>
        <row r="649">
          <cell r="A649">
            <v>300100045</v>
          </cell>
          <cell r="B649" t="str">
            <v>负攻击速度</v>
          </cell>
        </row>
        <row r="649">
          <cell r="D649">
            <v>2</v>
          </cell>
          <cell r="E649">
            <v>33</v>
          </cell>
        </row>
      </sheetData>
      <sheetData sheetId="1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72"/>
  <sheetViews>
    <sheetView tabSelected="1" workbookViewId="0">
      <selection activeCell="E14" sqref="E14"/>
    </sheetView>
  </sheetViews>
  <sheetFormatPr defaultColWidth="9" defaultRowHeight="13.5"/>
  <cols>
    <col min="1" max="1" width="9" style="4"/>
    <col min="2" max="2" width="17.125" style="5" customWidth="1"/>
    <col min="3" max="3" width="12" style="4" customWidth="1"/>
    <col min="4" max="4" width="9" style="2"/>
    <col min="5" max="5" width="9" style="2" customWidth="1"/>
    <col min="6" max="7" width="9" style="5" customWidth="1"/>
    <col min="8" max="8" width="14.625" style="6" customWidth="1"/>
    <col min="9" max="10" width="14.625" style="4" customWidth="1"/>
    <col min="11" max="11" width="16.25" style="4" customWidth="1"/>
    <col min="12" max="12" width="17.25" style="4" customWidth="1"/>
    <col min="13" max="13" width="14.375" style="7" customWidth="1"/>
    <col min="14" max="16" width="11.25" style="8" customWidth="1"/>
    <col min="17" max="17" width="16.5" style="8" customWidth="1"/>
    <col min="18" max="18" width="71.875" style="2" customWidth="1"/>
    <col min="19" max="19" width="17.125" style="4" customWidth="1"/>
    <col min="20" max="22" width="9" style="2"/>
    <col min="23" max="24" width="9" style="4"/>
    <col min="25" max="29" width="9" style="2"/>
    <col min="30" max="30" width="17.125" style="4" customWidth="1"/>
    <col min="31" max="31" width="10.375" style="4" customWidth="1"/>
    <col min="32" max="16384" width="9" style="2"/>
  </cols>
  <sheetData>
    <row r="1" s="1" customFormat="1" ht="26.1" customHeight="1" spans="1:31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9" t="s">
        <v>6</v>
      </c>
      <c r="H1" s="10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1" t="s">
        <v>12</v>
      </c>
      <c r="N1" s="12" t="s">
        <v>13</v>
      </c>
      <c r="O1" s="12" t="s">
        <v>14</v>
      </c>
      <c r="P1" s="11" t="s">
        <v>15</v>
      </c>
      <c r="Q1" s="1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AD1" s="1" t="s">
        <v>21</v>
      </c>
      <c r="AE1" s="1" t="s">
        <v>22</v>
      </c>
    </row>
    <row r="2" s="2" customFormat="1" spans="1:31">
      <c r="A2" s="4"/>
      <c r="B2" s="5"/>
      <c r="C2" s="13"/>
      <c r="D2" s="13"/>
      <c r="E2" s="13"/>
      <c r="F2" s="5"/>
      <c r="G2" s="5"/>
      <c r="H2" s="6"/>
      <c r="I2" s="4"/>
      <c r="J2" s="13"/>
      <c r="K2" s="14"/>
      <c r="L2" s="14">
        <v>0.6</v>
      </c>
      <c r="M2" s="14" t="s">
        <v>23</v>
      </c>
      <c r="N2" s="14">
        <v>0.15</v>
      </c>
      <c r="O2" s="14">
        <v>15</v>
      </c>
      <c r="P2" s="14">
        <v>0.009</v>
      </c>
      <c r="Q2" s="15">
        <v>0.0033554794980203</v>
      </c>
      <c r="R2" s="16"/>
      <c r="S2" s="4"/>
      <c r="T2" s="4"/>
      <c r="U2" s="4"/>
      <c r="AD2" s="4"/>
      <c r="AE2" s="4"/>
    </row>
    <row r="3" s="2" customFormat="1" spans="1:31">
      <c r="A3" s="4">
        <v>1</v>
      </c>
      <c r="B3" s="5" t="s">
        <v>24</v>
      </c>
      <c r="C3" s="13" t="s">
        <v>25</v>
      </c>
      <c r="D3" s="17" t="s">
        <v>26</v>
      </c>
      <c r="E3" s="13">
        <v>1</v>
      </c>
      <c r="F3" s="5">
        <v>3</v>
      </c>
      <c r="G3" s="5">
        <v>3</v>
      </c>
      <c r="H3" s="6">
        <f t="shared" ref="H3:H66" si="0">VLOOKUP(F3*G3,$T$3:$U$11,2,FALSE)</f>
        <v>0.8</v>
      </c>
      <c r="I3" s="4">
        <f t="shared" ref="I3:I66" si="1">ROUND(F3*G3*J3*H3,0)</f>
        <v>2176697</v>
      </c>
      <c r="J3" s="13">
        <f>ROUND(VLOOKUP(D3,[1]物品容器!$T$3:$U$8,2,FALSE)*M3,0)</f>
        <v>302319</v>
      </c>
      <c r="K3" s="18">
        <f t="shared" ref="K3:K66" si="2">ROUND(J3*H3,0)</f>
        <v>241855</v>
      </c>
      <c r="L3" s="18">
        <f t="shared" ref="L3:O3" si="3">ROUND($I3*L$2,0)</f>
        <v>1306018</v>
      </c>
      <c r="M3" s="19">
        <v>1.00773</v>
      </c>
      <c r="N3" s="18">
        <f t="shared" si="3"/>
        <v>326505</v>
      </c>
      <c r="O3" s="18">
        <f t="shared" si="3"/>
        <v>32650455</v>
      </c>
      <c r="P3" s="18">
        <f t="shared" ref="P3:P66" si="4">L3*1.5%</f>
        <v>19590.27</v>
      </c>
      <c r="Q3" s="18">
        <f t="shared" ref="Q3:Q66" si="5">ROUND((O3-N3)*$Q$2,0)</f>
        <v>108462</v>
      </c>
      <c r="R3" s="16" t="s">
        <v>27</v>
      </c>
      <c r="S3" s="4">
        <f t="shared" ref="S3:S66" si="6">VLOOKUP(B3,$AD:$AE,2,FALSE)</f>
        <v>160020043</v>
      </c>
      <c r="T3" s="4">
        <v>1</v>
      </c>
      <c r="U3" s="20">
        <v>1</v>
      </c>
      <c r="V3" s="21"/>
      <c r="W3" s="4"/>
      <c r="X3" s="4"/>
      <c r="AD3" s="4"/>
      <c r="AE3" s="4"/>
    </row>
    <row r="4" s="2" customFormat="1" spans="1:31">
      <c r="A4" s="4">
        <v>2</v>
      </c>
      <c r="B4" s="5" t="s">
        <v>28</v>
      </c>
      <c r="C4" s="13" t="s">
        <v>25</v>
      </c>
      <c r="D4" s="17" t="s">
        <v>26</v>
      </c>
      <c r="E4" s="13">
        <v>2</v>
      </c>
      <c r="F4" s="5">
        <v>3</v>
      </c>
      <c r="G4" s="5">
        <v>3</v>
      </c>
      <c r="H4" s="6">
        <f t="shared" si="0"/>
        <v>0.8</v>
      </c>
      <c r="I4" s="4">
        <f t="shared" si="1"/>
        <v>2143325</v>
      </c>
      <c r="J4" s="13">
        <f>ROUND(VLOOKUP(D4,[1]物品容器!$T$3:$U$8,2,FALSE)*M4,0)</f>
        <v>297684</v>
      </c>
      <c r="K4" s="18">
        <f t="shared" si="2"/>
        <v>238147</v>
      </c>
      <c r="L4" s="18">
        <f t="shared" ref="L4:O4" si="7">ROUND($I4*L$2,0)</f>
        <v>1285995</v>
      </c>
      <c r="M4" s="19">
        <v>0.99228</v>
      </c>
      <c r="N4" s="18">
        <f t="shared" si="7"/>
        <v>321499</v>
      </c>
      <c r="O4" s="18">
        <f t="shared" si="7"/>
        <v>32149875</v>
      </c>
      <c r="P4" s="18">
        <f t="shared" si="4"/>
        <v>19289.925</v>
      </c>
      <c r="Q4" s="18">
        <f t="shared" si="5"/>
        <v>106799</v>
      </c>
      <c r="R4" s="16" t="s">
        <v>29</v>
      </c>
      <c r="S4" s="4">
        <f t="shared" si="6"/>
        <v>160020044</v>
      </c>
      <c r="T4" s="4">
        <v>2</v>
      </c>
      <c r="U4" s="20">
        <v>0.97</v>
      </c>
      <c r="V4" s="21"/>
      <c r="W4" s="4"/>
      <c r="X4" s="4"/>
      <c r="AD4" s="4"/>
      <c r="AE4" s="4"/>
    </row>
    <row r="5" s="2" customFormat="1" spans="1:31">
      <c r="A5" s="4">
        <v>3</v>
      </c>
      <c r="B5" s="5" t="s">
        <v>30</v>
      </c>
      <c r="C5" s="13" t="s">
        <v>25</v>
      </c>
      <c r="D5" s="17" t="s">
        <v>26</v>
      </c>
      <c r="E5" s="13">
        <v>3</v>
      </c>
      <c r="F5" s="5">
        <v>2</v>
      </c>
      <c r="G5" s="5">
        <v>2</v>
      </c>
      <c r="H5" s="6">
        <f t="shared" si="0"/>
        <v>0.91</v>
      </c>
      <c r="I5" s="4">
        <f t="shared" si="1"/>
        <v>1096095</v>
      </c>
      <c r="J5" s="13">
        <f>ROUND(VLOOKUP(D5,[1]物品容器!$T$3:$U$8,2,FALSE)*M5,0)</f>
        <v>301125</v>
      </c>
      <c r="K5" s="18">
        <f t="shared" si="2"/>
        <v>274024</v>
      </c>
      <c r="L5" s="18">
        <f t="shared" ref="L5:O5" si="8">ROUND($I5*L$2,0)</f>
        <v>657657</v>
      </c>
      <c r="M5" s="19">
        <v>1.00375</v>
      </c>
      <c r="N5" s="18">
        <f t="shared" si="8"/>
        <v>164414</v>
      </c>
      <c r="O5" s="18">
        <f t="shared" si="8"/>
        <v>16441425</v>
      </c>
      <c r="P5" s="18">
        <f t="shared" si="4"/>
        <v>9864.855</v>
      </c>
      <c r="Q5" s="18">
        <f t="shared" si="5"/>
        <v>54617</v>
      </c>
      <c r="R5" s="16" t="s">
        <v>31</v>
      </c>
      <c r="S5" s="4">
        <f t="shared" si="6"/>
        <v>160020045</v>
      </c>
      <c r="T5" s="4">
        <v>3</v>
      </c>
      <c r="U5" s="20">
        <v>0.94</v>
      </c>
      <c r="V5" s="21"/>
      <c r="W5" s="4"/>
      <c r="X5" s="4"/>
      <c r="AD5" s="4"/>
      <c r="AE5" s="4"/>
    </row>
    <row r="6" s="2" customFormat="1" spans="1:31">
      <c r="A6" s="4">
        <v>4</v>
      </c>
      <c r="B6" s="5" t="s">
        <v>32</v>
      </c>
      <c r="C6" s="13" t="s">
        <v>25</v>
      </c>
      <c r="D6" s="17" t="s">
        <v>26</v>
      </c>
      <c r="E6" s="13">
        <v>4</v>
      </c>
      <c r="F6" s="5">
        <v>2</v>
      </c>
      <c r="G6" s="5">
        <v>3</v>
      </c>
      <c r="H6" s="6">
        <f t="shared" si="0"/>
        <v>0.88</v>
      </c>
      <c r="I6" s="4">
        <f t="shared" si="1"/>
        <v>1570504</v>
      </c>
      <c r="J6" s="13">
        <f>ROUND(VLOOKUP(D6,[1]物品容器!$T$3:$U$8,2,FALSE)*M6,0)</f>
        <v>297444</v>
      </c>
      <c r="K6" s="18">
        <f t="shared" si="2"/>
        <v>261751</v>
      </c>
      <c r="L6" s="18">
        <f t="shared" ref="L6:O6" si="9">ROUND($I6*L$2,0)</f>
        <v>942302</v>
      </c>
      <c r="M6" s="19">
        <v>0.99148</v>
      </c>
      <c r="N6" s="18">
        <f t="shared" si="9"/>
        <v>235576</v>
      </c>
      <c r="O6" s="18">
        <f t="shared" si="9"/>
        <v>23557560</v>
      </c>
      <c r="P6" s="18">
        <f t="shared" si="4"/>
        <v>14134.53</v>
      </c>
      <c r="Q6" s="18">
        <f t="shared" si="5"/>
        <v>78256</v>
      </c>
      <c r="R6" s="16" t="s">
        <v>33</v>
      </c>
      <c r="S6" s="4">
        <f t="shared" si="6"/>
        <v>160020046</v>
      </c>
      <c r="T6" s="4">
        <v>4</v>
      </c>
      <c r="U6" s="20">
        <v>0.91</v>
      </c>
      <c r="V6" s="21"/>
      <c r="W6" s="4"/>
      <c r="X6" s="4"/>
      <c r="AD6" s="4"/>
      <c r="AE6" s="4"/>
    </row>
    <row r="7" s="2" customFormat="1" spans="1:31">
      <c r="A7" s="4">
        <v>5</v>
      </c>
      <c r="B7" s="5" t="s">
        <v>34</v>
      </c>
      <c r="C7" s="13" t="s">
        <v>25</v>
      </c>
      <c r="D7" s="17" t="s">
        <v>26</v>
      </c>
      <c r="E7" s="13">
        <v>5</v>
      </c>
      <c r="F7" s="5">
        <v>2</v>
      </c>
      <c r="G7" s="5">
        <v>3</v>
      </c>
      <c r="H7" s="6">
        <f t="shared" si="0"/>
        <v>0.88</v>
      </c>
      <c r="I7" s="4">
        <f t="shared" si="1"/>
        <v>1593346</v>
      </c>
      <c r="J7" s="13">
        <f>ROUND(VLOOKUP(D7,[1]物品容器!$T$3:$U$8,2,FALSE)*M7,0)</f>
        <v>301770</v>
      </c>
      <c r="K7" s="18">
        <f t="shared" si="2"/>
        <v>265558</v>
      </c>
      <c r="L7" s="18">
        <f t="shared" ref="L7:O7" si="10">ROUND($I7*L$2,0)</f>
        <v>956008</v>
      </c>
      <c r="M7" s="19">
        <v>1.0059</v>
      </c>
      <c r="N7" s="18">
        <f t="shared" si="10"/>
        <v>239002</v>
      </c>
      <c r="O7" s="18">
        <f t="shared" si="10"/>
        <v>23900190</v>
      </c>
      <c r="P7" s="18">
        <f t="shared" si="4"/>
        <v>14340.12</v>
      </c>
      <c r="Q7" s="18">
        <f t="shared" si="5"/>
        <v>79395</v>
      </c>
      <c r="R7" s="16" t="s">
        <v>35</v>
      </c>
      <c r="S7" s="4">
        <f t="shared" si="6"/>
        <v>160020047</v>
      </c>
      <c r="T7" s="4">
        <v>6</v>
      </c>
      <c r="U7" s="20">
        <v>0.88</v>
      </c>
      <c r="V7" s="21"/>
      <c r="W7" s="4"/>
      <c r="X7" s="4"/>
      <c r="AD7" s="4" t="s">
        <v>36</v>
      </c>
      <c r="AE7" s="4" t="s">
        <v>37</v>
      </c>
    </row>
    <row r="8" s="2" customFormat="1" spans="1:31">
      <c r="A8" s="4">
        <v>6</v>
      </c>
      <c r="B8" s="5" t="s">
        <v>38</v>
      </c>
      <c r="C8" s="13" t="s">
        <v>25</v>
      </c>
      <c r="D8" s="17" t="s">
        <v>26</v>
      </c>
      <c r="E8" s="13">
        <v>6</v>
      </c>
      <c r="F8" s="5">
        <v>2</v>
      </c>
      <c r="G8" s="5">
        <v>2</v>
      </c>
      <c r="H8" s="6">
        <f t="shared" si="0"/>
        <v>0.91</v>
      </c>
      <c r="I8" s="4">
        <f t="shared" si="1"/>
        <v>1084116</v>
      </c>
      <c r="J8" s="13">
        <f>ROUND(VLOOKUP(D8,[1]物品容器!$T$3:$U$8,2,FALSE)*M8,0)</f>
        <v>297834</v>
      </c>
      <c r="K8" s="18">
        <f t="shared" si="2"/>
        <v>271029</v>
      </c>
      <c r="L8" s="18">
        <f t="shared" ref="L8:O8" si="11">ROUND($I8*L$2,0)</f>
        <v>650470</v>
      </c>
      <c r="M8" s="19">
        <v>0.99278</v>
      </c>
      <c r="N8" s="18">
        <f t="shared" si="11"/>
        <v>162617</v>
      </c>
      <c r="O8" s="18">
        <f t="shared" si="11"/>
        <v>16261740</v>
      </c>
      <c r="P8" s="18">
        <f t="shared" si="4"/>
        <v>9757.05</v>
      </c>
      <c r="Q8" s="18">
        <f t="shared" si="5"/>
        <v>54020</v>
      </c>
      <c r="R8" s="2" t="s">
        <v>39</v>
      </c>
      <c r="S8" s="4">
        <f t="shared" si="6"/>
        <v>160020048</v>
      </c>
      <c r="T8" s="4">
        <v>8</v>
      </c>
      <c r="U8" s="20">
        <v>0.84</v>
      </c>
      <c r="V8" s="21"/>
      <c r="W8" s="4"/>
      <c r="X8" s="4"/>
      <c r="AD8" s="4"/>
      <c r="AE8" s="4">
        <v>-1</v>
      </c>
    </row>
    <row r="9" s="2" customFormat="1" spans="1:31">
      <c r="A9" s="4">
        <v>7</v>
      </c>
      <c r="B9" s="5" t="s">
        <v>40</v>
      </c>
      <c r="C9" s="13" t="s">
        <v>25</v>
      </c>
      <c r="D9" s="22" t="s">
        <v>41</v>
      </c>
      <c r="E9" s="13">
        <v>7</v>
      </c>
      <c r="F9" s="5">
        <v>1</v>
      </c>
      <c r="G9" s="5">
        <v>1</v>
      </c>
      <c r="H9" s="6">
        <f t="shared" si="0"/>
        <v>1</v>
      </c>
      <c r="I9" s="4">
        <f t="shared" si="1"/>
        <v>100388</v>
      </c>
      <c r="J9" s="13">
        <f>ROUND(VLOOKUP(D9,[1]物品容器!$T$3:$U$8,2,FALSE)*M9,0)</f>
        <v>100388</v>
      </c>
      <c r="K9" s="18">
        <f t="shared" si="2"/>
        <v>100388</v>
      </c>
      <c r="L9" s="18">
        <f t="shared" ref="L9:O9" si="12">ROUND($I9*L$2,0)</f>
        <v>60233</v>
      </c>
      <c r="M9" s="19">
        <v>1.00388</v>
      </c>
      <c r="N9" s="18">
        <f t="shared" si="12"/>
        <v>15058</v>
      </c>
      <c r="O9" s="18">
        <f t="shared" si="12"/>
        <v>1505820</v>
      </c>
      <c r="P9" s="18">
        <f t="shared" si="4"/>
        <v>903.495</v>
      </c>
      <c r="Q9" s="18">
        <f t="shared" si="5"/>
        <v>5002</v>
      </c>
      <c r="R9" s="16" t="s">
        <v>42</v>
      </c>
      <c r="S9" s="4">
        <f t="shared" si="6"/>
        <v>160020037</v>
      </c>
      <c r="T9" s="4">
        <v>9</v>
      </c>
      <c r="U9" s="20">
        <v>0.8</v>
      </c>
      <c r="V9" s="21"/>
      <c r="W9" s="4"/>
      <c r="X9" s="4"/>
      <c r="AD9" s="4" t="s">
        <v>43</v>
      </c>
      <c r="AE9" s="4">
        <v>1</v>
      </c>
    </row>
    <row r="10" s="2" customFormat="1" spans="1:31">
      <c r="A10" s="4">
        <v>8</v>
      </c>
      <c r="B10" s="5" t="s">
        <v>44</v>
      </c>
      <c r="C10" s="13" t="s">
        <v>25</v>
      </c>
      <c r="D10" s="22" t="s">
        <v>41</v>
      </c>
      <c r="E10" s="13">
        <v>8</v>
      </c>
      <c r="F10" s="5">
        <v>1</v>
      </c>
      <c r="G10" s="5">
        <v>1</v>
      </c>
      <c r="H10" s="6">
        <f t="shared" si="0"/>
        <v>1</v>
      </c>
      <c r="I10" s="4">
        <f t="shared" si="1"/>
        <v>99889</v>
      </c>
      <c r="J10" s="13">
        <f>ROUND(VLOOKUP(D10,[1]物品容器!$T$3:$U$8,2,FALSE)*M10,0)</f>
        <v>99889</v>
      </c>
      <c r="K10" s="18">
        <f t="shared" si="2"/>
        <v>99889</v>
      </c>
      <c r="L10" s="18">
        <f t="shared" ref="L10:O10" si="13">ROUND($I10*L$2,0)</f>
        <v>59933</v>
      </c>
      <c r="M10" s="19">
        <v>0.99889</v>
      </c>
      <c r="N10" s="18">
        <f t="shared" si="13"/>
        <v>14983</v>
      </c>
      <c r="O10" s="18">
        <f t="shared" si="13"/>
        <v>1498335</v>
      </c>
      <c r="P10" s="18">
        <f t="shared" si="4"/>
        <v>898.995</v>
      </c>
      <c r="Q10" s="18">
        <f t="shared" si="5"/>
        <v>4977</v>
      </c>
      <c r="R10" s="16" t="s">
        <v>45</v>
      </c>
      <c r="S10" s="4">
        <f t="shared" si="6"/>
        <v>160020036</v>
      </c>
      <c r="T10" s="4">
        <v>10</v>
      </c>
      <c r="U10" s="20">
        <v>0.75</v>
      </c>
      <c r="V10" s="21"/>
      <c r="W10" s="4"/>
      <c r="X10" s="4"/>
      <c r="AD10" s="4" t="s">
        <v>46</v>
      </c>
      <c r="AE10" s="4">
        <v>2</v>
      </c>
    </row>
    <row r="11" s="2" customFormat="1" spans="1:31">
      <c r="A11" s="4">
        <v>9</v>
      </c>
      <c r="B11" s="5" t="s">
        <v>47</v>
      </c>
      <c r="C11" s="13" t="s">
        <v>25</v>
      </c>
      <c r="D11" s="22" t="s">
        <v>41</v>
      </c>
      <c r="E11" s="13">
        <v>9</v>
      </c>
      <c r="F11" s="5">
        <v>1</v>
      </c>
      <c r="G11" s="5">
        <v>2</v>
      </c>
      <c r="H11" s="6">
        <f t="shared" si="0"/>
        <v>0.97</v>
      </c>
      <c r="I11" s="4">
        <f t="shared" si="1"/>
        <v>195868</v>
      </c>
      <c r="J11" s="13">
        <f>ROUND(VLOOKUP(D11,[1]物品容器!$T$3:$U$8,2,FALSE)*M11,0)</f>
        <v>100963</v>
      </c>
      <c r="K11" s="18">
        <f t="shared" si="2"/>
        <v>97934</v>
      </c>
      <c r="L11" s="18">
        <f t="shared" ref="L11:O11" si="14">ROUND($I11*L$2,0)</f>
        <v>117521</v>
      </c>
      <c r="M11" s="19">
        <v>1.00963</v>
      </c>
      <c r="N11" s="18">
        <f t="shared" si="14"/>
        <v>29380</v>
      </c>
      <c r="O11" s="18">
        <f t="shared" si="14"/>
        <v>2938020</v>
      </c>
      <c r="P11" s="18">
        <f t="shared" si="4"/>
        <v>1762.815</v>
      </c>
      <c r="Q11" s="18">
        <f t="shared" si="5"/>
        <v>9760</v>
      </c>
      <c r="R11" s="2" t="s">
        <v>48</v>
      </c>
      <c r="S11" s="4">
        <f t="shared" si="6"/>
        <v>160020038</v>
      </c>
      <c r="T11" s="4">
        <v>12</v>
      </c>
      <c r="U11" s="20">
        <v>0.7</v>
      </c>
      <c r="V11" s="21"/>
      <c r="W11" s="4"/>
      <c r="X11" s="4"/>
      <c r="AD11" s="4" t="s">
        <v>49</v>
      </c>
      <c r="AE11" s="4">
        <v>3</v>
      </c>
    </row>
    <row r="12" s="2" customFormat="1" spans="1:31">
      <c r="A12" s="4">
        <v>10</v>
      </c>
      <c r="B12" s="5" t="s">
        <v>50</v>
      </c>
      <c r="C12" s="13" t="s">
        <v>25</v>
      </c>
      <c r="D12" s="22" t="s">
        <v>41</v>
      </c>
      <c r="E12" s="13">
        <v>10</v>
      </c>
      <c r="F12" s="5">
        <v>1</v>
      </c>
      <c r="G12" s="5">
        <v>1</v>
      </c>
      <c r="H12" s="6">
        <f t="shared" si="0"/>
        <v>1</v>
      </c>
      <c r="I12" s="4">
        <f t="shared" si="1"/>
        <v>100979</v>
      </c>
      <c r="J12" s="13">
        <f>ROUND(VLOOKUP(D12,[1]物品容器!$T$3:$U$8,2,FALSE)*M12,0)</f>
        <v>100979</v>
      </c>
      <c r="K12" s="18">
        <f t="shared" si="2"/>
        <v>100979</v>
      </c>
      <c r="L12" s="18">
        <f t="shared" ref="L12:O12" si="15">ROUND($I12*L$2,0)</f>
        <v>60587</v>
      </c>
      <c r="M12" s="19">
        <v>1.00979</v>
      </c>
      <c r="N12" s="18">
        <f t="shared" si="15"/>
        <v>15147</v>
      </c>
      <c r="O12" s="18">
        <f t="shared" si="15"/>
        <v>1514685</v>
      </c>
      <c r="P12" s="18">
        <f t="shared" si="4"/>
        <v>908.805</v>
      </c>
      <c r="Q12" s="18">
        <f t="shared" si="5"/>
        <v>5032</v>
      </c>
      <c r="R12" s="16" t="s">
        <v>51</v>
      </c>
      <c r="S12" s="4">
        <f t="shared" si="6"/>
        <v>160020039</v>
      </c>
      <c r="T12" s="4"/>
      <c r="U12" s="4"/>
      <c r="V12" s="2"/>
      <c r="W12" s="4"/>
      <c r="X12" s="4"/>
      <c r="AD12" s="4" t="s">
        <v>52</v>
      </c>
      <c r="AE12" s="4">
        <v>10</v>
      </c>
    </row>
    <row r="13" s="2" customFormat="1" spans="1:31">
      <c r="A13" s="4">
        <v>11</v>
      </c>
      <c r="B13" s="5" t="s">
        <v>53</v>
      </c>
      <c r="C13" s="13" t="s">
        <v>25</v>
      </c>
      <c r="D13" s="22" t="s">
        <v>41</v>
      </c>
      <c r="E13" s="13">
        <v>11</v>
      </c>
      <c r="F13" s="5">
        <v>1</v>
      </c>
      <c r="G13" s="5">
        <v>2</v>
      </c>
      <c r="H13" s="6">
        <f t="shared" si="0"/>
        <v>0.97</v>
      </c>
      <c r="I13" s="4">
        <f t="shared" si="1"/>
        <v>193503</v>
      </c>
      <c r="J13" s="13">
        <f>ROUND(VLOOKUP(D13,[1]物品容器!$T$3:$U$8,2,FALSE)*M13,0)</f>
        <v>99744</v>
      </c>
      <c r="K13" s="18">
        <f t="shared" si="2"/>
        <v>96752</v>
      </c>
      <c r="L13" s="18">
        <f t="shared" ref="L13:O13" si="16">ROUND($I13*L$2,0)</f>
        <v>116102</v>
      </c>
      <c r="M13" s="19">
        <v>0.99744</v>
      </c>
      <c r="N13" s="18">
        <f t="shared" si="16"/>
        <v>29025</v>
      </c>
      <c r="O13" s="18">
        <f t="shared" si="16"/>
        <v>2902545</v>
      </c>
      <c r="P13" s="18">
        <f t="shared" si="4"/>
        <v>1741.53</v>
      </c>
      <c r="Q13" s="18">
        <f t="shared" si="5"/>
        <v>9642</v>
      </c>
      <c r="R13" s="16" t="s">
        <v>54</v>
      </c>
      <c r="S13" s="4">
        <f t="shared" si="6"/>
        <v>160020040</v>
      </c>
      <c r="W13" s="4"/>
      <c r="X13" s="4"/>
      <c r="AD13" s="4" t="s">
        <v>55</v>
      </c>
      <c r="AE13" s="4">
        <v>11</v>
      </c>
    </row>
    <row r="14" s="2" customFormat="1" spans="1:31">
      <c r="A14" s="4">
        <v>12</v>
      </c>
      <c r="B14" s="5" t="s">
        <v>56</v>
      </c>
      <c r="C14" s="13" t="s">
        <v>25</v>
      </c>
      <c r="D14" s="22" t="s">
        <v>41</v>
      </c>
      <c r="E14" s="13">
        <v>12</v>
      </c>
      <c r="F14" s="5">
        <v>2</v>
      </c>
      <c r="G14" s="5">
        <v>3</v>
      </c>
      <c r="H14" s="6">
        <f t="shared" si="0"/>
        <v>0.88</v>
      </c>
      <c r="I14" s="4">
        <f t="shared" si="1"/>
        <v>529172</v>
      </c>
      <c r="J14" s="13">
        <f>ROUND(VLOOKUP(D14,[1]物品容器!$T$3:$U$8,2,FALSE)*M14,0)</f>
        <v>100222</v>
      </c>
      <c r="K14" s="18">
        <f t="shared" si="2"/>
        <v>88195</v>
      </c>
      <c r="L14" s="18">
        <f t="shared" ref="L14:O14" si="17">ROUND($I14*L$2,0)</f>
        <v>317503</v>
      </c>
      <c r="M14" s="19">
        <v>1.00222</v>
      </c>
      <c r="N14" s="18">
        <f t="shared" si="17"/>
        <v>79376</v>
      </c>
      <c r="O14" s="18">
        <f t="shared" si="17"/>
        <v>7937580</v>
      </c>
      <c r="P14" s="18">
        <f t="shared" si="4"/>
        <v>4762.545</v>
      </c>
      <c r="Q14" s="18">
        <f t="shared" si="5"/>
        <v>26368</v>
      </c>
      <c r="R14" s="2" t="s">
        <v>57</v>
      </c>
      <c r="S14" s="4">
        <f t="shared" si="6"/>
        <v>160020041</v>
      </c>
      <c r="W14" s="4"/>
      <c r="X14" s="4"/>
      <c r="AD14" s="4" t="s">
        <v>58</v>
      </c>
      <c r="AE14" s="4">
        <v>201</v>
      </c>
    </row>
    <row r="15" s="2" customFormat="1" spans="1:31">
      <c r="A15" s="4">
        <v>13</v>
      </c>
      <c r="B15" s="5" t="s">
        <v>59</v>
      </c>
      <c r="C15" s="13" t="s">
        <v>25</v>
      </c>
      <c r="D15" s="22" t="s">
        <v>41</v>
      </c>
      <c r="E15" s="13">
        <v>13</v>
      </c>
      <c r="F15" s="5">
        <v>1</v>
      </c>
      <c r="G15" s="23">
        <v>2</v>
      </c>
      <c r="H15" s="6">
        <f t="shared" si="0"/>
        <v>0.97</v>
      </c>
      <c r="I15" s="4">
        <f t="shared" si="1"/>
        <v>192590</v>
      </c>
      <c r="J15" s="13">
        <f>ROUND(VLOOKUP(D15,[1]物品容器!$T$3:$U$8,2,FALSE)*M15,0)</f>
        <v>99273</v>
      </c>
      <c r="K15" s="18">
        <f t="shared" si="2"/>
        <v>96295</v>
      </c>
      <c r="L15" s="18">
        <f t="shared" ref="L15:O15" si="18">ROUND($I15*L$2,0)</f>
        <v>115554</v>
      </c>
      <c r="M15" s="19">
        <v>0.99273</v>
      </c>
      <c r="N15" s="18">
        <f t="shared" si="18"/>
        <v>28889</v>
      </c>
      <c r="O15" s="18">
        <f t="shared" si="18"/>
        <v>2888850</v>
      </c>
      <c r="P15" s="18">
        <f t="shared" si="4"/>
        <v>1733.31</v>
      </c>
      <c r="Q15" s="18">
        <f t="shared" si="5"/>
        <v>9597</v>
      </c>
      <c r="R15" s="2" t="s">
        <v>60</v>
      </c>
      <c r="S15" s="4">
        <f t="shared" si="6"/>
        <v>160020042</v>
      </c>
      <c r="W15" s="4"/>
      <c r="X15" s="4"/>
      <c r="AD15" s="4" t="s">
        <v>61</v>
      </c>
      <c r="AE15" s="4">
        <v>1001</v>
      </c>
    </row>
    <row r="16" s="2" customFormat="1" spans="1:31">
      <c r="A16" s="4">
        <v>14</v>
      </c>
      <c r="B16" s="5" t="s">
        <v>62</v>
      </c>
      <c r="C16" s="13" t="s">
        <v>25</v>
      </c>
      <c r="D16" s="24" t="s">
        <v>63</v>
      </c>
      <c r="E16" s="13">
        <v>14</v>
      </c>
      <c r="F16" s="5">
        <v>2</v>
      </c>
      <c r="G16" s="5">
        <v>2</v>
      </c>
      <c r="H16" s="6">
        <f t="shared" si="0"/>
        <v>0.91</v>
      </c>
      <c r="I16" s="4">
        <f t="shared" si="1"/>
        <v>109611</v>
      </c>
      <c r="J16" s="13">
        <f>ROUND(VLOOKUP(D16,[1]物品容器!$T$3:$U$8,2,FALSE)*M16,0)</f>
        <v>30113</v>
      </c>
      <c r="K16" s="18">
        <f t="shared" si="2"/>
        <v>27403</v>
      </c>
      <c r="L16" s="18">
        <f t="shared" ref="L16:O16" si="19">ROUND($I16*L$2,0)</f>
        <v>65767</v>
      </c>
      <c r="M16" s="19">
        <v>1.00377</v>
      </c>
      <c r="N16" s="18">
        <f t="shared" si="19"/>
        <v>16442</v>
      </c>
      <c r="O16" s="18">
        <f t="shared" si="19"/>
        <v>1644165</v>
      </c>
      <c r="P16" s="18">
        <f t="shared" si="4"/>
        <v>986.505</v>
      </c>
      <c r="Q16" s="18">
        <f t="shared" si="5"/>
        <v>5462</v>
      </c>
      <c r="R16" s="2" t="s">
        <v>64</v>
      </c>
      <c r="S16" s="4">
        <f t="shared" si="6"/>
        <v>160020032</v>
      </c>
      <c r="W16" s="4"/>
      <c r="X16" s="4"/>
      <c r="AD16" s="4" t="s">
        <v>65</v>
      </c>
      <c r="AE16" s="4">
        <v>1002</v>
      </c>
    </row>
    <row r="17" s="2" customFormat="1" spans="1:31">
      <c r="A17" s="4">
        <v>15</v>
      </c>
      <c r="B17" s="5" t="s">
        <v>66</v>
      </c>
      <c r="C17" s="13" t="s">
        <v>25</v>
      </c>
      <c r="D17" s="24" t="s">
        <v>63</v>
      </c>
      <c r="E17" s="13">
        <v>15</v>
      </c>
      <c r="F17" s="5">
        <v>1</v>
      </c>
      <c r="G17" s="5">
        <v>1</v>
      </c>
      <c r="H17" s="6">
        <f t="shared" si="0"/>
        <v>1</v>
      </c>
      <c r="I17" s="4">
        <f t="shared" si="1"/>
        <v>29773</v>
      </c>
      <c r="J17" s="13">
        <f>ROUND(VLOOKUP(D17,[1]物品容器!$T$3:$U$8,2,FALSE)*M17,0)</f>
        <v>29773</v>
      </c>
      <c r="K17" s="18">
        <f t="shared" si="2"/>
        <v>29773</v>
      </c>
      <c r="L17" s="18">
        <f t="shared" ref="L17:O17" si="20">ROUND($I17*L$2,0)</f>
        <v>17864</v>
      </c>
      <c r="M17" s="19">
        <v>0.99244</v>
      </c>
      <c r="N17" s="18">
        <f t="shared" si="20"/>
        <v>4466</v>
      </c>
      <c r="O17" s="18">
        <f t="shared" si="20"/>
        <v>446595</v>
      </c>
      <c r="P17" s="18">
        <f t="shared" si="4"/>
        <v>267.96</v>
      </c>
      <c r="Q17" s="18">
        <f t="shared" si="5"/>
        <v>1484</v>
      </c>
      <c r="R17" s="2" t="s">
        <v>67</v>
      </c>
      <c r="S17" s="4">
        <f t="shared" si="6"/>
        <v>160020033</v>
      </c>
      <c r="W17" s="4"/>
      <c r="X17" s="4"/>
      <c r="AD17" s="4" t="s">
        <v>68</v>
      </c>
      <c r="AE17" s="4">
        <v>1003</v>
      </c>
    </row>
    <row r="18" s="2" customFormat="1" spans="1:31">
      <c r="A18" s="4">
        <v>16</v>
      </c>
      <c r="B18" s="5" t="s">
        <v>69</v>
      </c>
      <c r="C18" s="13" t="s">
        <v>25</v>
      </c>
      <c r="D18" s="24" t="s">
        <v>63</v>
      </c>
      <c r="E18" s="13">
        <v>16</v>
      </c>
      <c r="F18" s="5">
        <v>2</v>
      </c>
      <c r="G18" s="5">
        <v>2</v>
      </c>
      <c r="H18" s="6">
        <f t="shared" si="0"/>
        <v>0.91</v>
      </c>
      <c r="I18" s="4">
        <f t="shared" si="1"/>
        <v>109284</v>
      </c>
      <c r="J18" s="13">
        <f>ROUND(VLOOKUP(D18,[1]物品容器!$T$3:$U$8,2,FALSE)*M18,0)</f>
        <v>30023</v>
      </c>
      <c r="K18" s="18">
        <f t="shared" si="2"/>
        <v>27321</v>
      </c>
      <c r="L18" s="18">
        <f t="shared" ref="L18:O18" si="21">ROUND($I18*L$2,0)</f>
        <v>65570</v>
      </c>
      <c r="M18" s="19">
        <v>1.00075</v>
      </c>
      <c r="N18" s="18">
        <f t="shared" si="21"/>
        <v>16393</v>
      </c>
      <c r="O18" s="18">
        <f t="shared" si="21"/>
        <v>1639260</v>
      </c>
      <c r="P18" s="18">
        <f t="shared" si="4"/>
        <v>983.55</v>
      </c>
      <c r="Q18" s="18">
        <f t="shared" si="5"/>
        <v>5445</v>
      </c>
      <c r="R18" s="2" t="s">
        <v>70</v>
      </c>
      <c r="S18" s="4">
        <f t="shared" si="6"/>
        <v>160020034</v>
      </c>
      <c r="W18" s="4"/>
      <c r="X18" s="4"/>
      <c r="AD18" s="4" t="s">
        <v>71</v>
      </c>
      <c r="AE18" s="4">
        <v>100100</v>
      </c>
    </row>
    <row r="19" s="2" customFormat="1" spans="1:31">
      <c r="A19" s="4">
        <v>17</v>
      </c>
      <c r="B19" s="5" t="s">
        <v>72</v>
      </c>
      <c r="C19" s="13" t="s">
        <v>25</v>
      </c>
      <c r="D19" s="24" t="s">
        <v>63</v>
      </c>
      <c r="E19" s="13">
        <v>17</v>
      </c>
      <c r="F19" s="5">
        <v>1</v>
      </c>
      <c r="G19" s="5">
        <v>2</v>
      </c>
      <c r="H19" s="6">
        <f t="shared" si="0"/>
        <v>0.97</v>
      </c>
      <c r="I19" s="4">
        <f t="shared" si="1"/>
        <v>58524</v>
      </c>
      <c r="J19" s="13">
        <f>ROUND(VLOOKUP(D19,[1]物品容器!$T$3:$U$8,2,FALSE)*M19,0)</f>
        <v>30167</v>
      </c>
      <c r="K19" s="18">
        <f t="shared" si="2"/>
        <v>29262</v>
      </c>
      <c r="L19" s="18">
        <f t="shared" ref="L19:O19" si="22">ROUND($I19*L$2,0)</f>
        <v>35114</v>
      </c>
      <c r="M19" s="19">
        <v>1.00557</v>
      </c>
      <c r="N19" s="18">
        <f t="shared" si="22"/>
        <v>8779</v>
      </c>
      <c r="O19" s="18">
        <f t="shared" si="22"/>
        <v>877860</v>
      </c>
      <c r="P19" s="18">
        <f t="shared" si="4"/>
        <v>526.71</v>
      </c>
      <c r="Q19" s="18">
        <f t="shared" si="5"/>
        <v>2916</v>
      </c>
      <c r="R19" s="2" t="s">
        <v>73</v>
      </c>
      <c r="S19" s="4">
        <f t="shared" si="6"/>
        <v>160020035</v>
      </c>
      <c r="W19" s="4"/>
      <c r="X19" s="4"/>
      <c r="AD19" s="4" t="s">
        <v>74</v>
      </c>
      <c r="AE19" s="4">
        <v>100200</v>
      </c>
    </row>
    <row r="20" s="2" customFormat="1" spans="1:31">
      <c r="A20" s="4">
        <v>18</v>
      </c>
      <c r="B20" s="5" t="s">
        <v>75</v>
      </c>
      <c r="C20" s="13" t="s">
        <v>25</v>
      </c>
      <c r="D20" s="25" t="s">
        <v>76</v>
      </c>
      <c r="E20" s="13">
        <v>18</v>
      </c>
      <c r="F20" s="5">
        <v>1</v>
      </c>
      <c r="G20" s="23">
        <v>1</v>
      </c>
      <c r="H20" s="6">
        <f t="shared" si="0"/>
        <v>1</v>
      </c>
      <c r="I20" s="4">
        <f t="shared" si="1"/>
        <v>9909</v>
      </c>
      <c r="J20" s="13">
        <f>ROUND(VLOOKUP(D20,[1]物品容器!$T$3:$U$8,2,FALSE)*M20,0)</f>
        <v>9909</v>
      </c>
      <c r="K20" s="18">
        <f t="shared" si="2"/>
        <v>9909</v>
      </c>
      <c r="L20" s="18">
        <f t="shared" ref="L20:O20" si="23">ROUND($I20*L$2,0)</f>
        <v>5945</v>
      </c>
      <c r="M20" s="19">
        <v>0.9909</v>
      </c>
      <c r="N20" s="18">
        <f t="shared" si="23"/>
        <v>1486</v>
      </c>
      <c r="O20" s="18">
        <f t="shared" si="23"/>
        <v>148635</v>
      </c>
      <c r="P20" s="18">
        <f t="shared" si="4"/>
        <v>89.175</v>
      </c>
      <c r="Q20" s="18">
        <f t="shared" si="5"/>
        <v>494</v>
      </c>
      <c r="R20" s="2" t="s">
        <v>77</v>
      </c>
      <c r="S20" s="4">
        <f t="shared" si="6"/>
        <v>160020022</v>
      </c>
      <c r="W20" s="4"/>
      <c r="X20" s="4"/>
      <c r="AD20" s="4" t="s">
        <v>78</v>
      </c>
      <c r="AE20" s="4">
        <v>100300</v>
      </c>
    </row>
    <row r="21" s="2" customFormat="1" spans="1:31">
      <c r="A21" s="4">
        <v>19</v>
      </c>
      <c r="B21" s="5" t="s">
        <v>79</v>
      </c>
      <c r="C21" s="13" t="s">
        <v>25</v>
      </c>
      <c r="D21" s="25" t="s">
        <v>76</v>
      </c>
      <c r="E21" s="13">
        <v>19</v>
      </c>
      <c r="F21" s="5">
        <v>2</v>
      </c>
      <c r="G21" s="5">
        <v>3</v>
      </c>
      <c r="H21" s="6">
        <f t="shared" si="0"/>
        <v>0.88</v>
      </c>
      <c r="I21" s="4">
        <f t="shared" si="1"/>
        <v>53022</v>
      </c>
      <c r="J21" s="13">
        <f>ROUND(VLOOKUP(D21,[1]物品容器!$T$3:$U$8,2,FALSE)*M21,0)</f>
        <v>10042</v>
      </c>
      <c r="K21" s="18">
        <f t="shared" si="2"/>
        <v>8837</v>
      </c>
      <c r="L21" s="18">
        <f t="shared" ref="L21:O21" si="24">ROUND($I21*L$2,0)</f>
        <v>31813</v>
      </c>
      <c r="M21" s="19">
        <v>1.00423</v>
      </c>
      <c r="N21" s="18">
        <f t="shared" si="24"/>
        <v>7953</v>
      </c>
      <c r="O21" s="18">
        <f t="shared" si="24"/>
        <v>795330</v>
      </c>
      <c r="P21" s="18">
        <f t="shared" si="4"/>
        <v>477.195</v>
      </c>
      <c r="Q21" s="18">
        <f t="shared" si="5"/>
        <v>2642</v>
      </c>
      <c r="R21" s="2" t="s">
        <v>80</v>
      </c>
      <c r="S21" s="4">
        <f t="shared" si="6"/>
        <v>160020023</v>
      </c>
      <c r="W21" s="4"/>
      <c r="X21" s="4"/>
      <c r="AD21" s="4" t="s">
        <v>81</v>
      </c>
      <c r="AE21" s="4">
        <v>100400</v>
      </c>
    </row>
    <row r="22" s="2" customFormat="1" spans="1:31">
      <c r="A22" s="4">
        <v>20</v>
      </c>
      <c r="B22" s="5" t="s">
        <v>82</v>
      </c>
      <c r="C22" s="13" t="s">
        <v>25</v>
      </c>
      <c r="D22" s="25" t="s">
        <v>76</v>
      </c>
      <c r="E22" s="13">
        <v>20</v>
      </c>
      <c r="F22" s="5">
        <v>1</v>
      </c>
      <c r="G22" s="5">
        <v>2</v>
      </c>
      <c r="H22" s="6">
        <f t="shared" si="0"/>
        <v>0.97</v>
      </c>
      <c r="I22" s="4">
        <f t="shared" si="1"/>
        <v>19289</v>
      </c>
      <c r="J22" s="13">
        <f>ROUND(VLOOKUP(D22,[1]物品容器!$T$3:$U$8,2,FALSE)*M22,0)</f>
        <v>9943</v>
      </c>
      <c r="K22" s="18">
        <f t="shared" si="2"/>
        <v>9645</v>
      </c>
      <c r="L22" s="18">
        <f t="shared" ref="L22:O22" si="25">ROUND($I22*L$2,0)</f>
        <v>11573</v>
      </c>
      <c r="M22" s="19">
        <v>0.99429</v>
      </c>
      <c r="N22" s="18">
        <f t="shared" si="25"/>
        <v>2893</v>
      </c>
      <c r="O22" s="18">
        <f t="shared" si="25"/>
        <v>289335</v>
      </c>
      <c r="P22" s="18">
        <f t="shared" si="4"/>
        <v>173.595</v>
      </c>
      <c r="Q22" s="18">
        <f t="shared" si="5"/>
        <v>961</v>
      </c>
      <c r="R22" s="2" t="s">
        <v>83</v>
      </c>
      <c r="S22" s="4">
        <f t="shared" si="6"/>
        <v>160020024</v>
      </c>
      <c r="W22" s="4"/>
      <c r="X22" s="4"/>
      <c r="AD22" s="4" t="s">
        <v>84</v>
      </c>
      <c r="AE22" s="4">
        <v>100500</v>
      </c>
    </row>
    <row r="23" s="2" customFormat="1" spans="1:31">
      <c r="A23" s="4">
        <v>21</v>
      </c>
      <c r="B23" s="5" t="s">
        <v>85</v>
      </c>
      <c r="C23" s="13" t="s">
        <v>25</v>
      </c>
      <c r="D23" s="25" t="s">
        <v>76</v>
      </c>
      <c r="E23" s="13">
        <v>21</v>
      </c>
      <c r="F23" s="5">
        <v>1</v>
      </c>
      <c r="G23" s="5">
        <v>1</v>
      </c>
      <c r="H23" s="6">
        <f t="shared" si="0"/>
        <v>1</v>
      </c>
      <c r="I23" s="4">
        <f t="shared" si="1"/>
        <v>9931</v>
      </c>
      <c r="J23" s="13">
        <f>ROUND(VLOOKUP(D23,[1]物品容器!$T$3:$U$8,2,FALSE)*M23,0)</f>
        <v>9931</v>
      </c>
      <c r="K23" s="18">
        <f t="shared" si="2"/>
        <v>9931</v>
      </c>
      <c r="L23" s="18">
        <f t="shared" ref="L23:O23" si="26">ROUND($I23*L$2,0)</f>
        <v>5959</v>
      </c>
      <c r="M23" s="19">
        <v>0.9931</v>
      </c>
      <c r="N23" s="18">
        <f t="shared" si="26"/>
        <v>1490</v>
      </c>
      <c r="O23" s="18">
        <f t="shared" si="26"/>
        <v>148965</v>
      </c>
      <c r="P23" s="18">
        <f t="shared" si="4"/>
        <v>89.385</v>
      </c>
      <c r="Q23" s="18">
        <f t="shared" si="5"/>
        <v>495</v>
      </c>
      <c r="R23" s="2" t="s">
        <v>86</v>
      </c>
      <c r="S23" s="4">
        <f t="shared" si="6"/>
        <v>160020025</v>
      </c>
      <c r="W23" s="4"/>
      <c r="X23" s="4"/>
      <c r="AD23" s="4" t="s">
        <v>78</v>
      </c>
      <c r="AE23" s="4">
        <v>100600</v>
      </c>
    </row>
    <row r="24" s="2" customFormat="1" spans="1:31">
      <c r="A24" s="4">
        <v>22</v>
      </c>
      <c r="B24" s="5" t="s">
        <v>87</v>
      </c>
      <c r="C24" s="13" t="s">
        <v>25</v>
      </c>
      <c r="D24" s="25" t="s">
        <v>76</v>
      </c>
      <c r="E24" s="13">
        <v>22</v>
      </c>
      <c r="F24" s="5">
        <v>1</v>
      </c>
      <c r="G24" s="5">
        <v>1</v>
      </c>
      <c r="H24" s="6">
        <f t="shared" si="0"/>
        <v>1</v>
      </c>
      <c r="I24" s="4">
        <f t="shared" si="1"/>
        <v>10079</v>
      </c>
      <c r="J24" s="13">
        <f>ROUND(VLOOKUP(D24,[1]物品容器!$T$3:$U$8,2,FALSE)*M24,0)</f>
        <v>10079</v>
      </c>
      <c r="K24" s="18">
        <f t="shared" si="2"/>
        <v>10079</v>
      </c>
      <c r="L24" s="18">
        <f t="shared" ref="L24:O24" si="27">ROUND($I24*L$2,0)</f>
        <v>6047</v>
      </c>
      <c r="M24" s="19">
        <v>1.0079</v>
      </c>
      <c r="N24" s="18">
        <f t="shared" si="27"/>
        <v>1512</v>
      </c>
      <c r="O24" s="18">
        <f t="shared" si="27"/>
        <v>151185</v>
      </c>
      <c r="P24" s="18">
        <f t="shared" si="4"/>
        <v>90.705</v>
      </c>
      <c r="Q24" s="18">
        <f t="shared" si="5"/>
        <v>502</v>
      </c>
      <c r="R24" s="2" t="s">
        <v>88</v>
      </c>
      <c r="S24" s="4">
        <f t="shared" si="6"/>
        <v>160020026</v>
      </c>
      <c r="W24" s="4"/>
      <c r="X24" s="4"/>
      <c r="AD24" s="4" t="s">
        <v>89</v>
      </c>
      <c r="AE24" s="4">
        <v>100700</v>
      </c>
    </row>
    <row r="25" s="2" customFormat="1" spans="1:31">
      <c r="A25" s="4">
        <v>23</v>
      </c>
      <c r="B25" s="5" t="s">
        <v>90</v>
      </c>
      <c r="C25" s="13" t="s">
        <v>25</v>
      </c>
      <c r="D25" s="25" t="s">
        <v>76</v>
      </c>
      <c r="E25" s="13">
        <v>23</v>
      </c>
      <c r="F25" s="5">
        <v>1</v>
      </c>
      <c r="G25" s="5">
        <v>1</v>
      </c>
      <c r="H25" s="6">
        <f t="shared" si="0"/>
        <v>1</v>
      </c>
      <c r="I25" s="4">
        <f t="shared" si="1"/>
        <v>9970</v>
      </c>
      <c r="J25" s="13">
        <f>ROUND(VLOOKUP(D25,[1]物品容器!$T$3:$U$8,2,FALSE)*M25,0)</f>
        <v>9970</v>
      </c>
      <c r="K25" s="18">
        <f t="shared" si="2"/>
        <v>9970</v>
      </c>
      <c r="L25" s="18">
        <f t="shared" ref="L25:O25" si="28">ROUND($I25*L$2,0)</f>
        <v>5982</v>
      </c>
      <c r="M25" s="19">
        <v>0.99702</v>
      </c>
      <c r="N25" s="18">
        <f t="shared" si="28"/>
        <v>1496</v>
      </c>
      <c r="O25" s="18">
        <f t="shared" si="28"/>
        <v>149550</v>
      </c>
      <c r="P25" s="18">
        <f t="shared" si="4"/>
        <v>89.73</v>
      </c>
      <c r="Q25" s="18">
        <f t="shared" si="5"/>
        <v>497</v>
      </c>
      <c r="R25" s="2" t="s">
        <v>91</v>
      </c>
      <c r="S25" s="4">
        <f t="shared" si="6"/>
        <v>160020027</v>
      </c>
      <c r="W25" s="4"/>
      <c r="X25" s="4"/>
      <c r="AD25" s="4" t="s">
        <v>92</v>
      </c>
      <c r="AE25" s="4">
        <v>100800</v>
      </c>
    </row>
    <row r="26" s="2" customFormat="1" spans="1:31">
      <c r="A26" s="4">
        <v>24</v>
      </c>
      <c r="B26" s="5" t="s">
        <v>93</v>
      </c>
      <c r="C26" s="13" t="s">
        <v>25</v>
      </c>
      <c r="D26" s="26" t="s">
        <v>94</v>
      </c>
      <c r="E26" s="13">
        <v>24</v>
      </c>
      <c r="F26" s="5">
        <v>1</v>
      </c>
      <c r="G26" s="5">
        <v>1</v>
      </c>
      <c r="H26" s="6">
        <f t="shared" si="0"/>
        <v>1</v>
      </c>
      <c r="I26" s="4">
        <f t="shared" si="1"/>
        <v>2972</v>
      </c>
      <c r="J26" s="13">
        <f>ROUND(VLOOKUP(D26,[1]物品容器!$T$3:$U$8,2,FALSE)*M26,0)</f>
        <v>2972</v>
      </c>
      <c r="K26" s="18">
        <f t="shared" si="2"/>
        <v>2972</v>
      </c>
      <c r="L26" s="18">
        <f t="shared" ref="L26:O26" si="29">ROUND($I26*L$2,0)</f>
        <v>1783</v>
      </c>
      <c r="M26" s="19">
        <v>0.99072</v>
      </c>
      <c r="N26" s="18">
        <f t="shared" si="29"/>
        <v>446</v>
      </c>
      <c r="O26" s="18">
        <f t="shared" si="29"/>
        <v>44580</v>
      </c>
      <c r="P26" s="18">
        <f t="shared" si="4"/>
        <v>26.745</v>
      </c>
      <c r="Q26" s="18">
        <f t="shared" si="5"/>
        <v>148</v>
      </c>
      <c r="R26" s="2" t="s">
        <v>95</v>
      </c>
      <c r="S26" s="4">
        <f t="shared" si="6"/>
        <v>160020011</v>
      </c>
      <c r="W26" s="4"/>
      <c r="X26" s="4"/>
      <c r="AD26" s="4" t="s">
        <v>96</v>
      </c>
      <c r="AE26" s="4">
        <v>100900</v>
      </c>
    </row>
    <row r="27" s="2" customFormat="1" spans="1:31">
      <c r="A27" s="4">
        <v>25</v>
      </c>
      <c r="B27" s="5" t="s">
        <v>97</v>
      </c>
      <c r="C27" s="13" t="s">
        <v>25</v>
      </c>
      <c r="D27" s="26" t="s">
        <v>94</v>
      </c>
      <c r="E27" s="13">
        <v>25</v>
      </c>
      <c r="F27" s="5">
        <v>1</v>
      </c>
      <c r="G27" s="5">
        <v>1</v>
      </c>
      <c r="H27" s="6">
        <f t="shared" si="0"/>
        <v>1</v>
      </c>
      <c r="I27" s="4">
        <f t="shared" si="1"/>
        <v>3011</v>
      </c>
      <c r="J27" s="13">
        <f>ROUND(VLOOKUP(D27,[1]物品容器!$T$3:$U$8,2,FALSE)*M27,0)</f>
        <v>3011</v>
      </c>
      <c r="K27" s="18">
        <f t="shared" si="2"/>
        <v>3011</v>
      </c>
      <c r="L27" s="18">
        <f t="shared" ref="L27:O27" si="30">ROUND($I27*L$2,0)</f>
        <v>1807</v>
      </c>
      <c r="M27" s="19">
        <v>1.00369</v>
      </c>
      <c r="N27" s="18">
        <f t="shared" si="30"/>
        <v>452</v>
      </c>
      <c r="O27" s="18">
        <f t="shared" si="30"/>
        <v>45165</v>
      </c>
      <c r="P27" s="18">
        <f t="shared" si="4"/>
        <v>27.105</v>
      </c>
      <c r="Q27" s="18">
        <f t="shared" si="5"/>
        <v>150</v>
      </c>
      <c r="R27" s="2" t="s">
        <v>98</v>
      </c>
      <c r="S27" s="4">
        <f t="shared" si="6"/>
        <v>160020012</v>
      </c>
      <c r="W27" s="4"/>
      <c r="X27" s="4"/>
      <c r="AD27" s="4" t="s">
        <v>99</v>
      </c>
      <c r="AE27" s="4">
        <v>101000</v>
      </c>
    </row>
    <row r="28" s="2" customFormat="1" spans="1:31">
      <c r="A28" s="4">
        <v>26</v>
      </c>
      <c r="B28" s="5" t="s">
        <v>100</v>
      </c>
      <c r="C28" s="13" t="s">
        <v>25</v>
      </c>
      <c r="D28" s="26" t="s">
        <v>94</v>
      </c>
      <c r="E28" s="13">
        <v>26</v>
      </c>
      <c r="F28" s="5">
        <v>1</v>
      </c>
      <c r="G28" s="5">
        <v>1</v>
      </c>
      <c r="H28" s="6">
        <f t="shared" si="0"/>
        <v>1</v>
      </c>
      <c r="I28" s="4">
        <f t="shared" si="1"/>
        <v>2971</v>
      </c>
      <c r="J28" s="13">
        <f>ROUND(VLOOKUP(D28,[1]物品容器!$T$3:$U$8,2,FALSE)*M28,0)</f>
        <v>2971</v>
      </c>
      <c r="K28" s="18">
        <f t="shared" si="2"/>
        <v>2971</v>
      </c>
      <c r="L28" s="18">
        <f t="shared" ref="L28:O28" si="31">ROUND($I28*L$2,0)</f>
        <v>1783</v>
      </c>
      <c r="M28" s="19">
        <v>0.99041</v>
      </c>
      <c r="N28" s="18">
        <f t="shared" si="31"/>
        <v>446</v>
      </c>
      <c r="O28" s="18">
        <f t="shared" si="31"/>
        <v>44565</v>
      </c>
      <c r="P28" s="18">
        <f t="shared" si="4"/>
        <v>26.745</v>
      </c>
      <c r="Q28" s="18">
        <f t="shared" si="5"/>
        <v>148</v>
      </c>
      <c r="R28" s="2" t="s">
        <v>101</v>
      </c>
      <c r="S28" s="4">
        <f t="shared" si="6"/>
        <v>160020013</v>
      </c>
      <c r="W28" s="4"/>
      <c r="X28" s="4"/>
      <c r="AD28" s="4" t="s">
        <v>102</v>
      </c>
      <c r="AE28" s="4">
        <v>101100</v>
      </c>
    </row>
    <row r="29" s="2" customFormat="1" spans="1:31">
      <c r="A29" s="4">
        <v>27</v>
      </c>
      <c r="B29" s="5" t="s">
        <v>103</v>
      </c>
      <c r="C29" s="13" t="s">
        <v>25</v>
      </c>
      <c r="D29" s="26" t="s">
        <v>94</v>
      </c>
      <c r="E29" s="13">
        <v>27</v>
      </c>
      <c r="F29" s="5">
        <v>1</v>
      </c>
      <c r="G29" s="5">
        <v>1</v>
      </c>
      <c r="H29" s="6">
        <f t="shared" si="0"/>
        <v>1</v>
      </c>
      <c r="I29" s="4">
        <f t="shared" si="1"/>
        <v>2995</v>
      </c>
      <c r="J29" s="13">
        <f>ROUND(VLOOKUP(D29,[1]物品容器!$T$3:$U$8,2,FALSE)*M29,0)</f>
        <v>2995</v>
      </c>
      <c r="K29" s="18">
        <f t="shared" si="2"/>
        <v>2995</v>
      </c>
      <c r="L29" s="18">
        <f t="shared" ref="L29:O29" si="32">ROUND($I29*L$2,0)</f>
        <v>1797</v>
      </c>
      <c r="M29" s="19">
        <v>0.99818</v>
      </c>
      <c r="N29" s="18">
        <f t="shared" si="32"/>
        <v>449</v>
      </c>
      <c r="O29" s="18">
        <f t="shared" si="32"/>
        <v>44925</v>
      </c>
      <c r="P29" s="18">
        <f t="shared" si="4"/>
        <v>26.955</v>
      </c>
      <c r="Q29" s="18">
        <f t="shared" si="5"/>
        <v>149</v>
      </c>
      <c r="R29" s="2" t="s">
        <v>104</v>
      </c>
      <c r="S29" s="4">
        <f t="shared" si="6"/>
        <v>160020014</v>
      </c>
      <c r="W29" s="4"/>
      <c r="X29" s="4"/>
      <c r="AD29" s="4" t="s">
        <v>105</v>
      </c>
      <c r="AE29" s="4">
        <v>101200</v>
      </c>
    </row>
    <row r="30" s="2" customFormat="1" spans="1:31">
      <c r="A30" s="4">
        <v>28</v>
      </c>
      <c r="B30" s="5" t="s">
        <v>106</v>
      </c>
      <c r="C30" s="13" t="s">
        <v>25</v>
      </c>
      <c r="D30" s="26" t="s">
        <v>94</v>
      </c>
      <c r="E30" s="13">
        <v>28</v>
      </c>
      <c r="F30" s="5">
        <v>1</v>
      </c>
      <c r="G30" s="5">
        <v>1</v>
      </c>
      <c r="H30" s="6">
        <f t="shared" si="0"/>
        <v>1</v>
      </c>
      <c r="I30" s="4">
        <f t="shared" si="1"/>
        <v>2975</v>
      </c>
      <c r="J30" s="13">
        <f>ROUND(VLOOKUP(D30,[1]物品容器!$T$3:$U$8,2,FALSE)*M30,0)</f>
        <v>2975</v>
      </c>
      <c r="K30" s="18">
        <f t="shared" si="2"/>
        <v>2975</v>
      </c>
      <c r="L30" s="18">
        <f t="shared" ref="L30:O30" si="33">ROUND($I30*L$2,0)</f>
        <v>1785</v>
      </c>
      <c r="M30" s="19">
        <v>0.99166</v>
      </c>
      <c r="N30" s="18">
        <f t="shared" si="33"/>
        <v>446</v>
      </c>
      <c r="O30" s="18">
        <f t="shared" si="33"/>
        <v>44625</v>
      </c>
      <c r="P30" s="18">
        <f t="shared" si="4"/>
        <v>26.775</v>
      </c>
      <c r="Q30" s="18">
        <f t="shared" si="5"/>
        <v>148</v>
      </c>
      <c r="R30" s="2" t="s">
        <v>107</v>
      </c>
      <c r="S30" s="4">
        <f t="shared" si="6"/>
        <v>160020015</v>
      </c>
      <c r="W30" s="4"/>
      <c r="X30" s="4"/>
      <c r="AD30" s="4" t="s">
        <v>108</v>
      </c>
      <c r="AE30" s="4">
        <v>101400</v>
      </c>
    </row>
    <row r="31" s="2" customFormat="1" spans="1:31">
      <c r="A31" s="4">
        <v>29</v>
      </c>
      <c r="B31" s="5" t="s">
        <v>109</v>
      </c>
      <c r="C31" s="13" t="s">
        <v>25</v>
      </c>
      <c r="D31" s="26" t="s">
        <v>94</v>
      </c>
      <c r="E31" s="13">
        <v>29</v>
      </c>
      <c r="F31" s="5">
        <v>1</v>
      </c>
      <c r="G31" s="5">
        <v>1</v>
      </c>
      <c r="H31" s="6">
        <f t="shared" si="0"/>
        <v>1</v>
      </c>
      <c r="I31" s="4">
        <f t="shared" si="1"/>
        <v>3027</v>
      </c>
      <c r="J31" s="13">
        <f>ROUND(VLOOKUP(D31,[1]物品容器!$T$3:$U$8,2,FALSE)*M31,0)</f>
        <v>3027</v>
      </c>
      <c r="K31" s="18">
        <f t="shared" si="2"/>
        <v>3027</v>
      </c>
      <c r="L31" s="18">
        <f t="shared" ref="L31:O31" si="34">ROUND($I31*L$2,0)</f>
        <v>1816</v>
      </c>
      <c r="M31" s="19">
        <v>1.00911</v>
      </c>
      <c r="N31" s="18">
        <f t="shared" si="34"/>
        <v>454</v>
      </c>
      <c r="O31" s="18">
        <f t="shared" si="34"/>
        <v>45405</v>
      </c>
      <c r="P31" s="18">
        <f t="shared" si="4"/>
        <v>27.24</v>
      </c>
      <c r="Q31" s="18">
        <f t="shared" si="5"/>
        <v>151</v>
      </c>
      <c r="R31" s="2" t="s">
        <v>110</v>
      </c>
      <c r="S31" s="4">
        <f t="shared" si="6"/>
        <v>160020016</v>
      </c>
      <c r="W31" s="4"/>
      <c r="X31" s="4"/>
      <c r="AD31" s="4" t="s">
        <v>111</v>
      </c>
      <c r="AE31" s="4">
        <v>101010001</v>
      </c>
    </row>
    <row r="32" s="2" customFormat="1" spans="1:31">
      <c r="A32" s="4">
        <v>30</v>
      </c>
      <c r="B32" s="5" t="s">
        <v>112</v>
      </c>
      <c r="C32" s="13" t="s">
        <v>25</v>
      </c>
      <c r="D32" s="26" t="s">
        <v>94</v>
      </c>
      <c r="E32" s="13">
        <v>30</v>
      </c>
      <c r="F32" s="5">
        <v>1</v>
      </c>
      <c r="G32" s="5">
        <v>2</v>
      </c>
      <c r="H32" s="6">
        <f t="shared" si="0"/>
        <v>0.97</v>
      </c>
      <c r="I32" s="4">
        <f t="shared" si="1"/>
        <v>5874</v>
      </c>
      <c r="J32" s="13">
        <f>ROUND(VLOOKUP(D32,[1]物品容器!$T$3:$U$8,2,FALSE)*M32,0)</f>
        <v>3028</v>
      </c>
      <c r="K32" s="18">
        <f t="shared" si="2"/>
        <v>2937</v>
      </c>
      <c r="L32" s="18">
        <f t="shared" ref="L32:O32" si="35">ROUND($I32*L$2,0)</f>
        <v>3524</v>
      </c>
      <c r="M32" s="19">
        <v>1.00922</v>
      </c>
      <c r="N32" s="18">
        <f t="shared" si="35"/>
        <v>881</v>
      </c>
      <c r="O32" s="18">
        <f t="shared" si="35"/>
        <v>88110</v>
      </c>
      <c r="P32" s="18">
        <f t="shared" si="4"/>
        <v>52.86</v>
      </c>
      <c r="Q32" s="18">
        <f t="shared" si="5"/>
        <v>293</v>
      </c>
      <c r="R32" s="2" t="s">
        <v>113</v>
      </c>
      <c r="S32" s="4">
        <f t="shared" si="6"/>
        <v>160020017</v>
      </c>
      <c r="W32" s="4"/>
      <c r="X32" s="4"/>
      <c r="AD32" s="4" t="s">
        <v>114</v>
      </c>
      <c r="AE32" s="4">
        <v>120000000</v>
      </c>
    </row>
    <row r="33" s="2" customFormat="1" spans="1:31">
      <c r="A33" s="4">
        <v>31</v>
      </c>
      <c r="B33" s="5" t="s">
        <v>115</v>
      </c>
      <c r="C33" s="13" t="s">
        <v>25</v>
      </c>
      <c r="D33" s="27" t="s">
        <v>116</v>
      </c>
      <c r="E33" s="13">
        <v>31</v>
      </c>
      <c r="F33" s="5">
        <v>1</v>
      </c>
      <c r="G33" s="5">
        <v>1</v>
      </c>
      <c r="H33" s="6">
        <f t="shared" si="0"/>
        <v>1</v>
      </c>
      <c r="I33" s="4">
        <f t="shared" si="1"/>
        <v>995</v>
      </c>
      <c r="J33" s="13">
        <f>ROUND(VLOOKUP(D33,[1]物品容器!$T$3:$U$8,2,FALSE)*M33,0)</f>
        <v>995</v>
      </c>
      <c r="K33" s="18">
        <f t="shared" si="2"/>
        <v>995</v>
      </c>
      <c r="L33" s="18">
        <f t="shared" ref="L33:O33" si="36">ROUND($I33*L$2,0)</f>
        <v>597</v>
      </c>
      <c r="M33" s="19">
        <v>0.99518</v>
      </c>
      <c r="N33" s="18">
        <f t="shared" si="36"/>
        <v>149</v>
      </c>
      <c r="O33" s="18">
        <f t="shared" si="36"/>
        <v>14925</v>
      </c>
      <c r="P33" s="18">
        <f t="shared" si="4"/>
        <v>8.955</v>
      </c>
      <c r="Q33" s="18">
        <f t="shared" si="5"/>
        <v>50</v>
      </c>
      <c r="R33" s="2" t="s">
        <v>117</v>
      </c>
      <c r="S33" s="4">
        <f t="shared" si="6"/>
        <v>160020001</v>
      </c>
      <c r="W33" s="4"/>
      <c r="X33" s="4"/>
      <c r="AD33" s="4" t="s">
        <v>118</v>
      </c>
      <c r="AE33" s="4">
        <v>120000001</v>
      </c>
    </row>
    <row r="34" s="2" customFormat="1" spans="1:31">
      <c r="A34" s="4">
        <v>32</v>
      </c>
      <c r="B34" s="5" t="s">
        <v>119</v>
      </c>
      <c r="C34" s="13" t="s">
        <v>25</v>
      </c>
      <c r="D34" s="27" t="s">
        <v>116</v>
      </c>
      <c r="E34" s="13">
        <v>32</v>
      </c>
      <c r="F34" s="5">
        <v>1</v>
      </c>
      <c r="G34" s="5">
        <v>1</v>
      </c>
      <c r="H34" s="6">
        <f t="shared" si="0"/>
        <v>1</v>
      </c>
      <c r="I34" s="4">
        <f t="shared" si="1"/>
        <v>1006</v>
      </c>
      <c r="J34" s="13">
        <f>ROUND(VLOOKUP(D34,[1]物品容器!$T$3:$U$8,2,FALSE)*M34,0)</f>
        <v>1006</v>
      </c>
      <c r="K34" s="18">
        <f t="shared" si="2"/>
        <v>1006</v>
      </c>
      <c r="L34" s="18">
        <f t="shared" ref="L34:O34" si="37">ROUND($I34*L$2,0)</f>
        <v>604</v>
      </c>
      <c r="M34" s="19">
        <v>1.00625</v>
      </c>
      <c r="N34" s="18">
        <f t="shared" si="37"/>
        <v>151</v>
      </c>
      <c r="O34" s="18">
        <f t="shared" si="37"/>
        <v>15090</v>
      </c>
      <c r="P34" s="18">
        <f t="shared" si="4"/>
        <v>9.06</v>
      </c>
      <c r="Q34" s="18">
        <f t="shared" si="5"/>
        <v>50</v>
      </c>
      <c r="R34" s="2" t="s">
        <v>120</v>
      </c>
      <c r="S34" s="4">
        <f t="shared" si="6"/>
        <v>160020002</v>
      </c>
      <c r="W34" s="4"/>
      <c r="X34" s="4"/>
      <c r="AD34" s="4" t="s">
        <v>121</v>
      </c>
      <c r="AE34" s="4">
        <v>121000000</v>
      </c>
    </row>
    <row r="35" s="2" customFormat="1" spans="1:31">
      <c r="A35" s="4">
        <v>33</v>
      </c>
      <c r="B35" s="5" t="s">
        <v>122</v>
      </c>
      <c r="C35" s="13" t="s">
        <v>25</v>
      </c>
      <c r="D35" s="27" t="s">
        <v>116</v>
      </c>
      <c r="E35" s="13">
        <v>33</v>
      </c>
      <c r="F35" s="23">
        <v>2</v>
      </c>
      <c r="G35" s="5">
        <v>2</v>
      </c>
      <c r="H35" s="6">
        <f t="shared" si="0"/>
        <v>0.91</v>
      </c>
      <c r="I35" s="4">
        <f t="shared" si="1"/>
        <v>3625</v>
      </c>
      <c r="J35" s="13">
        <f>ROUND(VLOOKUP(D35,[1]物品容器!$T$3:$U$8,2,FALSE)*M35,0)</f>
        <v>996</v>
      </c>
      <c r="K35" s="18">
        <f t="shared" si="2"/>
        <v>906</v>
      </c>
      <c r="L35" s="18">
        <f t="shared" ref="L35:O35" si="38">ROUND($I35*L$2,0)</f>
        <v>2175</v>
      </c>
      <c r="M35" s="19">
        <v>0.99646</v>
      </c>
      <c r="N35" s="18">
        <f t="shared" si="38"/>
        <v>544</v>
      </c>
      <c r="O35" s="18">
        <f t="shared" si="38"/>
        <v>54375</v>
      </c>
      <c r="P35" s="18">
        <f t="shared" si="4"/>
        <v>32.625</v>
      </c>
      <c r="Q35" s="18">
        <f t="shared" si="5"/>
        <v>181</v>
      </c>
      <c r="R35" s="2" t="s">
        <v>123</v>
      </c>
      <c r="S35" s="4">
        <f t="shared" si="6"/>
        <v>160020003</v>
      </c>
      <c r="W35" s="4"/>
      <c r="X35" s="4"/>
      <c r="AD35" s="4" t="s">
        <v>124</v>
      </c>
      <c r="AE35" s="4">
        <v>121000001</v>
      </c>
    </row>
    <row r="36" s="2" customFormat="1" spans="1:31">
      <c r="A36" s="4">
        <v>34</v>
      </c>
      <c r="B36" s="5" t="s">
        <v>125</v>
      </c>
      <c r="C36" s="4" t="s">
        <v>126</v>
      </c>
      <c r="D36" s="13" t="s">
        <v>26</v>
      </c>
      <c r="E36" s="13">
        <v>1</v>
      </c>
      <c r="F36" s="5">
        <v>1</v>
      </c>
      <c r="G36" s="5">
        <v>1</v>
      </c>
      <c r="H36" s="6">
        <f t="shared" si="0"/>
        <v>1</v>
      </c>
      <c r="I36" s="4">
        <f t="shared" si="1"/>
        <v>301938</v>
      </c>
      <c r="J36" s="13">
        <f>ROUND(VLOOKUP(D36,[1]物品容器!$T$3:$U$8,2,FALSE)*M36,0)</f>
        <v>301938</v>
      </c>
      <c r="K36" s="18">
        <f t="shared" si="2"/>
        <v>301938</v>
      </c>
      <c r="L36" s="18">
        <f t="shared" ref="L36:O36" si="39">ROUND($I36*L$2,0)</f>
        <v>181163</v>
      </c>
      <c r="M36" s="19">
        <v>1.00646</v>
      </c>
      <c r="N36" s="18">
        <f t="shared" si="39"/>
        <v>45291</v>
      </c>
      <c r="O36" s="18">
        <f t="shared" si="39"/>
        <v>4529070</v>
      </c>
      <c r="P36" s="18">
        <f t="shared" si="4"/>
        <v>2717.445</v>
      </c>
      <c r="Q36" s="18">
        <f t="shared" si="5"/>
        <v>15045</v>
      </c>
      <c r="R36" s="2" t="s">
        <v>127</v>
      </c>
      <c r="S36" s="4">
        <f t="shared" si="6"/>
        <v>160060054</v>
      </c>
      <c r="W36" s="4"/>
      <c r="X36" s="4"/>
      <c r="AD36" s="4" t="s">
        <v>128</v>
      </c>
      <c r="AE36" s="4">
        <v>121000101</v>
      </c>
    </row>
    <row r="37" s="2" customFormat="1" spans="1:31">
      <c r="A37" s="4">
        <v>35</v>
      </c>
      <c r="B37" s="5" t="s">
        <v>129</v>
      </c>
      <c r="C37" s="4" t="s">
        <v>126</v>
      </c>
      <c r="D37" s="17" t="s">
        <v>26</v>
      </c>
      <c r="E37" s="13">
        <v>2</v>
      </c>
      <c r="F37" s="5">
        <v>1</v>
      </c>
      <c r="G37" s="5">
        <v>2</v>
      </c>
      <c r="H37" s="6">
        <f t="shared" si="0"/>
        <v>0.97</v>
      </c>
      <c r="I37" s="4">
        <f t="shared" si="1"/>
        <v>583019</v>
      </c>
      <c r="J37" s="13">
        <f>ROUND(VLOOKUP(D37,[1]物品容器!$T$3:$U$8,2,FALSE)*M37,0)</f>
        <v>300525</v>
      </c>
      <c r="K37" s="18">
        <f t="shared" si="2"/>
        <v>291509</v>
      </c>
      <c r="L37" s="18">
        <f t="shared" ref="L37:O37" si="40">ROUND($I37*L$2,0)</f>
        <v>349811</v>
      </c>
      <c r="M37" s="19">
        <v>1.00175</v>
      </c>
      <c r="N37" s="18">
        <f t="shared" si="40"/>
        <v>87453</v>
      </c>
      <c r="O37" s="18">
        <f t="shared" si="40"/>
        <v>8745285</v>
      </c>
      <c r="P37" s="18">
        <f t="shared" si="4"/>
        <v>5247.165</v>
      </c>
      <c r="Q37" s="18">
        <f t="shared" si="5"/>
        <v>29051</v>
      </c>
      <c r="R37" s="2" t="s">
        <v>130</v>
      </c>
      <c r="S37" s="4">
        <f t="shared" si="6"/>
        <v>160060055</v>
      </c>
      <c r="W37" s="4"/>
      <c r="X37" s="4"/>
      <c r="AD37" s="4" t="s">
        <v>131</v>
      </c>
      <c r="AE37" s="4">
        <v>121000201</v>
      </c>
    </row>
    <row r="38" s="2" customFormat="1" spans="1:31">
      <c r="A38" s="4">
        <v>36</v>
      </c>
      <c r="B38" s="5" t="s">
        <v>132</v>
      </c>
      <c r="C38" s="4" t="s">
        <v>126</v>
      </c>
      <c r="D38" s="17" t="s">
        <v>26</v>
      </c>
      <c r="E38" s="13">
        <v>3</v>
      </c>
      <c r="F38" s="5">
        <v>3</v>
      </c>
      <c r="G38" s="5">
        <v>3</v>
      </c>
      <c r="H38" s="6">
        <f t="shared" si="0"/>
        <v>0.8</v>
      </c>
      <c r="I38" s="4">
        <f t="shared" si="1"/>
        <v>2165810</v>
      </c>
      <c r="J38" s="13">
        <f>ROUND(VLOOKUP(D38,[1]物品容器!$T$3:$U$8,2,FALSE)*M38,0)</f>
        <v>300807</v>
      </c>
      <c r="K38" s="18">
        <f t="shared" si="2"/>
        <v>240646</v>
      </c>
      <c r="L38" s="18">
        <f t="shared" ref="L38:O38" si="41">ROUND($I38*L$2,0)</f>
        <v>1299486</v>
      </c>
      <c r="M38" s="19">
        <v>1.00269</v>
      </c>
      <c r="N38" s="18">
        <f t="shared" si="41"/>
        <v>324872</v>
      </c>
      <c r="O38" s="18">
        <f t="shared" si="41"/>
        <v>32487150</v>
      </c>
      <c r="P38" s="18">
        <f t="shared" si="4"/>
        <v>19492.29</v>
      </c>
      <c r="Q38" s="18">
        <f t="shared" si="5"/>
        <v>107920</v>
      </c>
      <c r="R38" s="2" t="s">
        <v>133</v>
      </c>
      <c r="S38" s="4">
        <f t="shared" si="6"/>
        <v>160060056</v>
      </c>
      <c r="W38" s="4"/>
      <c r="X38" s="4"/>
      <c r="AD38" s="4" t="s">
        <v>134</v>
      </c>
      <c r="AE38" s="4">
        <v>121000301</v>
      </c>
    </row>
    <row r="39" s="2" customFormat="1" spans="1:31">
      <c r="A39" s="4">
        <v>37</v>
      </c>
      <c r="B39" s="5" t="s">
        <v>135</v>
      </c>
      <c r="C39" s="4" t="s">
        <v>126</v>
      </c>
      <c r="D39" s="17" t="s">
        <v>26</v>
      </c>
      <c r="E39" s="13">
        <v>4</v>
      </c>
      <c r="F39" s="5">
        <v>3</v>
      </c>
      <c r="G39" s="5">
        <v>4</v>
      </c>
      <c r="H39" s="6">
        <f t="shared" si="0"/>
        <v>0.7</v>
      </c>
      <c r="I39" s="4">
        <f t="shared" si="1"/>
        <v>2516245</v>
      </c>
      <c r="J39" s="13">
        <f>ROUND(VLOOKUP(D39,[1]物品容器!$T$3:$U$8,2,FALSE)*M39,0)</f>
        <v>299553</v>
      </c>
      <c r="K39" s="18">
        <f t="shared" si="2"/>
        <v>209687</v>
      </c>
      <c r="L39" s="18">
        <f t="shared" ref="L39:O39" si="42">ROUND($I39*L$2,0)</f>
        <v>1509747</v>
      </c>
      <c r="M39" s="19">
        <v>0.99851</v>
      </c>
      <c r="N39" s="18">
        <f t="shared" si="42"/>
        <v>377437</v>
      </c>
      <c r="O39" s="18">
        <f t="shared" si="42"/>
        <v>37743675</v>
      </c>
      <c r="P39" s="18">
        <f t="shared" si="4"/>
        <v>22646.205</v>
      </c>
      <c r="Q39" s="18">
        <f t="shared" si="5"/>
        <v>125382</v>
      </c>
      <c r="R39" s="2" t="s">
        <v>136</v>
      </c>
      <c r="S39" s="4">
        <f t="shared" si="6"/>
        <v>160060057</v>
      </c>
      <c r="W39" s="4"/>
      <c r="X39" s="4"/>
      <c r="AD39" s="4" t="s">
        <v>137</v>
      </c>
      <c r="AE39" s="4">
        <v>121000401</v>
      </c>
    </row>
    <row r="40" s="2" customFormat="1" spans="1:31">
      <c r="A40" s="4">
        <v>38</v>
      </c>
      <c r="B40" s="5" t="s">
        <v>138</v>
      </c>
      <c r="C40" s="4" t="s">
        <v>126</v>
      </c>
      <c r="D40" s="17" t="s">
        <v>26</v>
      </c>
      <c r="E40" s="13">
        <v>5</v>
      </c>
      <c r="F40" s="5">
        <v>2</v>
      </c>
      <c r="G40" s="5">
        <v>3</v>
      </c>
      <c r="H40" s="6">
        <f t="shared" si="0"/>
        <v>0.88</v>
      </c>
      <c r="I40" s="4">
        <f t="shared" si="1"/>
        <v>1597353</v>
      </c>
      <c r="J40" s="13">
        <f>ROUND(VLOOKUP(D40,[1]物品容器!$T$3:$U$8,2,FALSE)*M40,0)</f>
        <v>302529</v>
      </c>
      <c r="K40" s="18">
        <f t="shared" si="2"/>
        <v>266226</v>
      </c>
      <c r="L40" s="18">
        <f t="shared" ref="L40:O40" si="43">ROUND($I40*L$2,0)</f>
        <v>958412</v>
      </c>
      <c r="M40" s="19">
        <v>1.00843</v>
      </c>
      <c r="N40" s="18">
        <f t="shared" si="43"/>
        <v>239603</v>
      </c>
      <c r="O40" s="18">
        <f t="shared" si="43"/>
        <v>23960295</v>
      </c>
      <c r="P40" s="18">
        <f t="shared" si="4"/>
        <v>14376.18</v>
      </c>
      <c r="Q40" s="18">
        <f t="shared" si="5"/>
        <v>79594</v>
      </c>
      <c r="R40" s="2" t="s">
        <v>139</v>
      </c>
      <c r="S40" s="4">
        <f t="shared" si="6"/>
        <v>160060058</v>
      </c>
      <c r="W40" s="4"/>
      <c r="X40" s="4"/>
      <c r="AD40" s="4" t="s">
        <v>140</v>
      </c>
      <c r="AE40" s="4">
        <v>121000501</v>
      </c>
    </row>
    <row r="41" s="2" customFormat="1" spans="1:31">
      <c r="A41" s="4">
        <v>39</v>
      </c>
      <c r="B41" s="5" t="s">
        <v>141</v>
      </c>
      <c r="C41" s="4" t="s">
        <v>126</v>
      </c>
      <c r="D41" s="17" t="s">
        <v>26</v>
      </c>
      <c r="E41" s="13">
        <v>6</v>
      </c>
      <c r="F41" s="5">
        <v>1</v>
      </c>
      <c r="G41" s="5">
        <v>2</v>
      </c>
      <c r="H41" s="6">
        <f t="shared" si="0"/>
        <v>0.97</v>
      </c>
      <c r="I41" s="4">
        <f t="shared" si="1"/>
        <v>576721</v>
      </c>
      <c r="J41" s="13">
        <f>ROUND(VLOOKUP(D41,[1]物品容器!$T$3:$U$8,2,FALSE)*M41,0)</f>
        <v>297279</v>
      </c>
      <c r="K41" s="18">
        <f t="shared" si="2"/>
        <v>288361</v>
      </c>
      <c r="L41" s="18">
        <f t="shared" ref="L41:O41" si="44">ROUND($I41*L$2,0)</f>
        <v>346033</v>
      </c>
      <c r="M41" s="19">
        <v>0.99093</v>
      </c>
      <c r="N41" s="18">
        <f t="shared" si="44"/>
        <v>86508</v>
      </c>
      <c r="O41" s="18">
        <f t="shared" si="44"/>
        <v>8650815</v>
      </c>
      <c r="P41" s="18">
        <f t="shared" si="4"/>
        <v>5190.495</v>
      </c>
      <c r="Q41" s="18">
        <f t="shared" si="5"/>
        <v>28737</v>
      </c>
      <c r="R41" s="2" t="s">
        <v>142</v>
      </c>
      <c r="S41" s="4">
        <f t="shared" si="6"/>
        <v>160060059</v>
      </c>
      <c r="W41" s="4"/>
      <c r="X41" s="4"/>
      <c r="AD41" s="4" t="s">
        <v>143</v>
      </c>
      <c r="AE41" s="4">
        <v>122000000</v>
      </c>
    </row>
    <row r="42" s="2" customFormat="1" spans="1:31">
      <c r="A42" s="4">
        <v>40</v>
      </c>
      <c r="B42" s="5" t="s">
        <v>144</v>
      </c>
      <c r="C42" s="4" t="s">
        <v>126</v>
      </c>
      <c r="D42" s="22" t="s">
        <v>41</v>
      </c>
      <c r="E42" s="13">
        <v>7</v>
      </c>
      <c r="F42" s="5">
        <v>1</v>
      </c>
      <c r="G42" s="5">
        <v>1</v>
      </c>
      <c r="H42" s="6">
        <f t="shared" si="0"/>
        <v>1</v>
      </c>
      <c r="I42" s="4">
        <f t="shared" si="1"/>
        <v>99734</v>
      </c>
      <c r="J42" s="13">
        <f>ROUND(VLOOKUP(D42,[1]物品容器!$T$3:$U$8,2,FALSE)*M42,0)</f>
        <v>99734</v>
      </c>
      <c r="K42" s="18">
        <f t="shared" si="2"/>
        <v>99734</v>
      </c>
      <c r="L42" s="18">
        <f t="shared" ref="L42:O42" si="45">ROUND($I42*L$2,0)</f>
        <v>59840</v>
      </c>
      <c r="M42" s="19">
        <v>0.99734</v>
      </c>
      <c r="N42" s="18">
        <f t="shared" si="45"/>
        <v>14960</v>
      </c>
      <c r="O42" s="18">
        <f t="shared" si="45"/>
        <v>1496010</v>
      </c>
      <c r="P42" s="18">
        <f t="shared" si="4"/>
        <v>897.6</v>
      </c>
      <c r="Q42" s="18">
        <f t="shared" si="5"/>
        <v>4970</v>
      </c>
      <c r="R42" s="2" t="s">
        <v>145</v>
      </c>
      <c r="S42" s="4">
        <f t="shared" si="6"/>
        <v>160060046</v>
      </c>
      <c r="W42" s="4"/>
      <c r="X42" s="4"/>
      <c r="AD42" s="4" t="s">
        <v>146</v>
      </c>
      <c r="AE42" s="4">
        <v>122000101</v>
      </c>
    </row>
    <row r="43" s="2" customFormat="1" spans="1:31">
      <c r="A43" s="4">
        <v>41</v>
      </c>
      <c r="B43" s="5" t="s">
        <v>147</v>
      </c>
      <c r="C43" s="4" t="s">
        <v>126</v>
      </c>
      <c r="D43" s="22" t="s">
        <v>41</v>
      </c>
      <c r="E43" s="13">
        <v>8</v>
      </c>
      <c r="F43" s="5">
        <v>1</v>
      </c>
      <c r="G43" s="5">
        <v>2</v>
      </c>
      <c r="H43" s="6">
        <f t="shared" si="0"/>
        <v>0.97</v>
      </c>
      <c r="I43" s="4">
        <f t="shared" si="1"/>
        <v>194502</v>
      </c>
      <c r="J43" s="13">
        <f>ROUND(VLOOKUP(D43,[1]物品容器!$T$3:$U$8,2,FALSE)*M43,0)</f>
        <v>100259</v>
      </c>
      <c r="K43" s="18">
        <f t="shared" si="2"/>
        <v>97251</v>
      </c>
      <c r="L43" s="18">
        <f t="shared" ref="L43:O43" si="46">ROUND($I43*L$2,0)</f>
        <v>116701</v>
      </c>
      <c r="M43" s="19">
        <v>1.00259</v>
      </c>
      <c r="N43" s="18">
        <f t="shared" si="46"/>
        <v>29175</v>
      </c>
      <c r="O43" s="18">
        <f t="shared" si="46"/>
        <v>2917530</v>
      </c>
      <c r="P43" s="18">
        <f t="shared" si="4"/>
        <v>1750.515</v>
      </c>
      <c r="Q43" s="18">
        <f t="shared" si="5"/>
        <v>9692</v>
      </c>
      <c r="R43" s="2" t="s">
        <v>148</v>
      </c>
      <c r="S43" s="4">
        <f t="shared" si="6"/>
        <v>160060047</v>
      </c>
      <c r="W43" s="4"/>
      <c r="X43" s="4"/>
      <c r="AD43" s="4" t="s">
        <v>149</v>
      </c>
      <c r="AE43" s="4">
        <v>122000201</v>
      </c>
    </row>
    <row r="44" s="2" customFormat="1" spans="1:31">
      <c r="A44" s="4">
        <v>42</v>
      </c>
      <c r="B44" s="5" t="s">
        <v>150</v>
      </c>
      <c r="C44" s="4" t="s">
        <v>126</v>
      </c>
      <c r="D44" s="22" t="s">
        <v>41</v>
      </c>
      <c r="E44" s="13">
        <v>9</v>
      </c>
      <c r="F44" s="5">
        <v>1</v>
      </c>
      <c r="G44" s="5">
        <v>2</v>
      </c>
      <c r="H44" s="6">
        <f t="shared" si="0"/>
        <v>0.97</v>
      </c>
      <c r="I44" s="4">
        <f t="shared" si="1"/>
        <v>194033</v>
      </c>
      <c r="J44" s="13">
        <f>ROUND(VLOOKUP(D44,[1]物品容器!$T$3:$U$8,2,FALSE)*M44,0)</f>
        <v>100017</v>
      </c>
      <c r="K44" s="18">
        <f t="shared" si="2"/>
        <v>97016</v>
      </c>
      <c r="L44" s="18">
        <f t="shared" ref="L44:O44" si="47">ROUND($I44*L$2,0)</f>
        <v>116420</v>
      </c>
      <c r="M44" s="19">
        <v>1.00017</v>
      </c>
      <c r="N44" s="18">
        <f t="shared" si="47"/>
        <v>29105</v>
      </c>
      <c r="O44" s="18">
        <f t="shared" si="47"/>
        <v>2910495</v>
      </c>
      <c r="P44" s="18">
        <f t="shared" si="4"/>
        <v>1746.3</v>
      </c>
      <c r="Q44" s="18">
        <f t="shared" si="5"/>
        <v>9668</v>
      </c>
      <c r="R44" s="2" t="s">
        <v>151</v>
      </c>
      <c r="S44" s="4">
        <f t="shared" si="6"/>
        <v>160060048</v>
      </c>
      <c r="W44" s="4"/>
      <c r="X44" s="4"/>
      <c r="AD44" s="4" t="s">
        <v>152</v>
      </c>
      <c r="AE44" s="4">
        <v>122000301</v>
      </c>
    </row>
    <row r="45" s="2" customFormat="1" spans="1:31">
      <c r="A45" s="4">
        <v>43</v>
      </c>
      <c r="B45" s="5" t="s">
        <v>153</v>
      </c>
      <c r="C45" s="4" t="s">
        <v>126</v>
      </c>
      <c r="D45" s="22" t="s">
        <v>41</v>
      </c>
      <c r="E45" s="13">
        <v>10</v>
      </c>
      <c r="F45" s="5">
        <v>1</v>
      </c>
      <c r="G45" s="5">
        <v>1</v>
      </c>
      <c r="H45" s="6">
        <f t="shared" si="0"/>
        <v>1</v>
      </c>
      <c r="I45" s="4">
        <f t="shared" si="1"/>
        <v>100650</v>
      </c>
      <c r="J45" s="13">
        <f>ROUND(VLOOKUP(D45,[1]物品容器!$T$3:$U$8,2,FALSE)*M45,0)</f>
        <v>100650</v>
      </c>
      <c r="K45" s="18">
        <f t="shared" si="2"/>
        <v>100650</v>
      </c>
      <c r="L45" s="18">
        <f t="shared" ref="L45:O45" si="48">ROUND($I45*L$2,0)</f>
        <v>60390</v>
      </c>
      <c r="M45" s="19">
        <v>1.0065</v>
      </c>
      <c r="N45" s="18">
        <f t="shared" si="48"/>
        <v>15098</v>
      </c>
      <c r="O45" s="18">
        <f t="shared" si="48"/>
        <v>1509750</v>
      </c>
      <c r="P45" s="18">
        <f t="shared" si="4"/>
        <v>905.85</v>
      </c>
      <c r="Q45" s="18">
        <f t="shared" si="5"/>
        <v>5015</v>
      </c>
      <c r="R45" s="2" t="s">
        <v>154</v>
      </c>
      <c r="S45" s="4">
        <f t="shared" si="6"/>
        <v>160060049</v>
      </c>
      <c r="W45" s="4"/>
      <c r="X45" s="4"/>
      <c r="AD45" s="4" t="s">
        <v>155</v>
      </c>
      <c r="AE45" s="4">
        <v>122000401</v>
      </c>
    </row>
    <row r="46" s="2" customFormat="1" spans="1:31">
      <c r="A46" s="4">
        <v>44</v>
      </c>
      <c r="B46" s="5" t="s">
        <v>156</v>
      </c>
      <c r="C46" s="4" t="s">
        <v>126</v>
      </c>
      <c r="D46" s="22" t="s">
        <v>41</v>
      </c>
      <c r="E46" s="13">
        <v>11</v>
      </c>
      <c r="F46" s="5">
        <v>1</v>
      </c>
      <c r="G46" s="5">
        <v>2</v>
      </c>
      <c r="H46" s="6">
        <f t="shared" si="0"/>
        <v>0.97</v>
      </c>
      <c r="I46" s="4">
        <f t="shared" si="1"/>
        <v>194840</v>
      </c>
      <c r="J46" s="13">
        <f>ROUND(VLOOKUP(D46,[1]物品容器!$T$3:$U$8,2,FALSE)*M46,0)</f>
        <v>100433</v>
      </c>
      <c r="K46" s="18">
        <f t="shared" si="2"/>
        <v>97420</v>
      </c>
      <c r="L46" s="18">
        <f t="shared" ref="L46:O46" si="49">ROUND($I46*L$2,0)</f>
        <v>116904</v>
      </c>
      <c r="M46" s="19">
        <v>1.00433</v>
      </c>
      <c r="N46" s="18">
        <f t="shared" si="49"/>
        <v>29226</v>
      </c>
      <c r="O46" s="18">
        <f t="shared" si="49"/>
        <v>2922600</v>
      </c>
      <c r="P46" s="18">
        <f t="shared" si="4"/>
        <v>1753.56</v>
      </c>
      <c r="Q46" s="18">
        <f t="shared" si="5"/>
        <v>9709</v>
      </c>
      <c r="R46" s="2" t="s">
        <v>157</v>
      </c>
      <c r="S46" s="4">
        <f t="shared" si="6"/>
        <v>160060050</v>
      </c>
      <c r="W46" s="4"/>
      <c r="X46" s="4"/>
      <c r="AD46" s="4" t="s">
        <v>158</v>
      </c>
      <c r="AE46" s="4">
        <v>123000200</v>
      </c>
    </row>
    <row r="47" s="2" customFormat="1" spans="1:31">
      <c r="A47" s="4">
        <v>45</v>
      </c>
      <c r="B47" s="5" t="s">
        <v>159</v>
      </c>
      <c r="C47" s="4" t="s">
        <v>126</v>
      </c>
      <c r="D47" s="22" t="s">
        <v>41</v>
      </c>
      <c r="E47" s="13">
        <v>12</v>
      </c>
      <c r="F47" s="5">
        <v>1</v>
      </c>
      <c r="G47" s="5">
        <v>1</v>
      </c>
      <c r="H47" s="6">
        <f t="shared" si="0"/>
        <v>1</v>
      </c>
      <c r="I47" s="4">
        <f t="shared" si="1"/>
        <v>100531</v>
      </c>
      <c r="J47" s="13">
        <f>ROUND(VLOOKUP(D47,[1]物品容器!$T$3:$U$8,2,FALSE)*M47,0)</f>
        <v>100531</v>
      </c>
      <c r="K47" s="18">
        <f t="shared" si="2"/>
        <v>100531</v>
      </c>
      <c r="L47" s="18">
        <f t="shared" ref="L47:O47" si="50">ROUND($I47*L$2,0)</f>
        <v>60319</v>
      </c>
      <c r="M47" s="19">
        <v>1.00531</v>
      </c>
      <c r="N47" s="18">
        <f t="shared" si="50"/>
        <v>15080</v>
      </c>
      <c r="O47" s="18">
        <f t="shared" si="50"/>
        <v>1507965</v>
      </c>
      <c r="P47" s="18">
        <f t="shared" si="4"/>
        <v>904.785</v>
      </c>
      <c r="Q47" s="18">
        <f t="shared" si="5"/>
        <v>5009</v>
      </c>
      <c r="R47" s="2" t="s">
        <v>160</v>
      </c>
      <c r="S47" s="4">
        <f t="shared" si="6"/>
        <v>160060051</v>
      </c>
      <c r="W47" s="4"/>
      <c r="X47" s="4"/>
      <c r="AD47" s="4" t="s">
        <v>161</v>
      </c>
      <c r="AE47" s="4">
        <v>123000300</v>
      </c>
    </row>
    <row r="48" s="2" customFormat="1" spans="1:31">
      <c r="A48" s="4">
        <v>46</v>
      </c>
      <c r="B48" s="5" t="s">
        <v>162</v>
      </c>
      <c r="C48" s="4" t="s">
        <v>126</v>
      </c>
      <c r="D48" s="22" t="s">
        <v>41</v>
      </c>
      <c r="E48" s="13">
        <v>13</v>
      </c>
      <c r="F48" s="5">
        <v>1</v>
      </c>
      <c r="G48" s="5">
        <v>1</v>
      </c>
      <c r="H48" s="6">
        <f t="shared" si="0"/>
        <v>1</v>
      </c>
      <c r="I48" s="4">
        <f t="shared" si="1"/>
        <v>99692</v>
      </c>
      <c r="J48" s="13">
        <f>ROUND(VLOOKUP(D48,[1]物品容器!$T$3:$U$8,2,FALSE)*M48,0)</f>
        <v>99692</v>
      </c>
      <c r="K48" s="18">
        <f t="shared" si="2"/>
        <v>99692</v>
      </c>
      <c r="L48" s="18">
        <f t="shared" ref="L48:O48" si="51">ROUND($I48*L$2,0)</f>
        <v>59815</v>
      </c>
      <c r="M48" s="19">
        <v>0.99692</v>
      </c>
      <c r="N48" s="18">
        <f t="shared" si="51"/>
        <v>14954</v>
      </c>
      <c r="O48" s="18">
        <f t="shared" si="51"/>
        <v>1495380</v>
      </c>
      <c r="P48" s="18">
        <f t="shared" si="4"/>
        <v>897.225</v>
      </c>
      <c r="Q48" s="18">
        <f t="shared" si="5"/>
        <v>4968</v>
      </c>
      <c r="R48" s="2" t="s">
        <v>163</v>
      </c>
      <c r="S48" s="4">
        <f t="shared" si="6"/>
        <v>160060052</v>
      </c>
      <c r="W48" s="4"/>
      <c r="X48" s="4"/>
      <c r="AD48" s="4" t="s">
        <v>164</v>
      </c>
      <c r="AE48" s="4">
        <v>123000400</v>
      </c>
    </row>
    <row r="49" s="2" customFormat="1" spans="1:31">
      <c r="A49" s="4">
        <v>47</v>
      </c>
      <c r="B49" s="5" t="s">
        <v>165</v>
      </c>
      <c r="C49" s="4" t="s">
        <v>126</v>
      </c>
      <c r="D49" s="22" t="s">
        <v>41</v>
      </c>
      <c r="E49" s="13">
        <v>14</v>
      </c>
      <c r="F49" s="5">
        <v>1</v>
      </c>
      <c r="G49" s="5">
        <v>1</v>
      </c>
      <c r="H49" s="6">
        <f t="shared" si="0"/>
        <v>1</v>
      </c>
      <c r="I49" s="4">
        <f t="shared" si="1"/>
        <v>100476</v>
      </c>
      <c r="J49" s="13">
        <f>ROUND(VLOOKUP(D49,[1]物品容器!$T$3:$U$8,2,FALSE)*M49,0)</f>
        <v>100476</v>
      </c>
      <c r="K49" s="18">
        <f t="shared" si="2"/>
        <v>100476</v>
      </c>
      <c r="L49" s="18">
        <f t="shared" ref="L49:O49" si="52">ROUND($I49*L$2,0)</f>
        <v>60286</v>
      </c>
      <c r="M49" s="19">
        <v>1.00476</v>
      </c>
      <c r="N49" s="18">
        <f t="shared" si="52"/>
        <v>15071</v>
      </c>
      <c r="O49" s="18">
        <f t="shared" si="52"/>
        <v>1507140</v>
      </c>
      <c r="P49" s="18">
        <f t="shared" si="4"/>
        <v>904.29</v>
      </c>
      <c r="Q49" s="18">
        <f t="shared" si="5"/>
        <v>5007</v>
      </c>
      <c r="R49" s="2" t="s">
        <v>166</v>
      </c>
      <c r="S49" s="4">
        <f t="shared" si="6"/>
        <v>160060053</v>
      </c>
      <c r="W49" s="4"/>
      <c r="X49" s="4"/>
      <c r="AD49" s="4" t="s">
        <v>167</v>
      </c>
      <c r="AE49" s="4">
        <v>123000500</v>
      </c>
    </row>
    <row r="50" s="2" customFormat="1" spans="1:31">
      <c r="A50" s="4">
        <v>48</v>
      </c>
      <c r="B50" s="5" t="s">
        <v>168</v>
      </c>
      <c r="C50" s="4" t="s">
        <v>126</v>
      </c>
      <c r="D50" s="24" t="s">
        <v>63</v>
      </c>
      <c r="E50" s="13">
        <v>15</v>
      </c>
      <c r="F50" s="5">
        <v>1</v>
      </c>
      <c r="G50" s="5">
        <v>1</v>
      </c>
      <c r="H50" s="6">
        <f t="shared" si="0"/>
        <v>1</v>
      </c>
      <c r="I50" s="4">
        <f t="shared" si="1"/>
        <v>29969</v>
      </c>
      <c r="J50" s="13">
        <f>ROUND(VLOOKUP(D50,[1]物品容器!$T$3:$U$8,2,FALSE)*M50,0)</f>
        <v>29969</v>
      </c>
      <c r="K50" s="18">
        <f t="shared" si="2"/>
        <v>29969</v>
      </c>
      <c r="L50" s="18">
        <f t="shared" ref="L50:O50" si="53">ROUND($I50*L$2,0)</f>
        <v>17981</v>
      </c>
      <c r="M50" s="19">
        <v>0.99898</v>
      </c>
      <c r="N50" s="18">
        <f t="shared" si="53"/>
        <v>4495</v>
      </c>
      <c r="O50" s="18">
        <f t="shared" si="53"/>
        <v>449535</v>
      </c>
      <c r="P50" s="18">
        <f t="shared" si="4"/>
        <v>269.715</v>
      </c>
      <c r="Q50" s="18">
        <f t="shared" si="5"/>
        <v>1493</v>
      </c>
      <c r="R50" s="2" t="s">
        <v>169</v>
      </c>
      <c r="S50" s="4">
        <f t="shared" si="6"/>
        <v>160060037</v>
      </c>
      <c r="W50" s="4"/>
      <c r="X50" s="4"/>
      <c r="AD50" s="4" t="s">
        <v>170</v>
      </c>
      <c r="AE50" s="4">
        <v>124000200</v>
      </c>
    </row>
    <row r="51" s="2" customFormat="1" spans="1:31">
      <c r="A51" s="4">
        <v>49</v>
      </c>
      <c r="B51" s="5" t="s">
        <v>171</v>
      </c>
      <c r="C51" s="4" t="s">
        <v>126</v>
      </c>
      <c r="D51" s="24" t="s">
        <v>63</v>
      </c>
      <c r="E51" s="13">
        <v>16</v>
      </c>
      <c r="F51" s="5">
        <v>1</v>
      </c>
      <c r="G51" s="5">
        <v>1</v>
      </c>
      <c r="H51" s="6">
        <f t="shared" si="0"/>
        <v>1</v>
      </c>
      <c r="I51" s="4">
        <f t="shared" si="1"/>
        <v>29741</v>
      </c>
      <c r="J51" s="13">
        <f>ROUND(VLOOKUP(D51,[1]物品容器!$T$3:$U$8,2,FALSE)*M51,0)</f>
        <v>29741</v>
      </c>
      <c r="K51" s="18">
        <f t="shared" si="2"/>
        <v>29741</v>
      </c>
      <c r="L51" s="18">
        <f t="shared" ref="L51:O51" si="54">ROUND($I51*L$2,0)</f>
        <v>17845</v>
      </c>
      <c r="M51" s="19">
        <v>0.99135</v>
      </c>
      <c r="N51" s="18">
        <f t="shared" si="54"/>
        <v>4461</v>
      </c>
      <c r="O51" s="18">
        <f t="shared" si="54"/>
        <v>446115</v>
      </c>
      <c r="P51" s="18">
        <f t="shared" si="4"/>
        <v>267.675</v>
      </c>
      <c r="Q51" s="18">
        <f t="shared" si="5"/>
        <v>1482</v>
      </c>
      <c r="R51" s="2" t="s">
        <v>172</v>
      </c>
      <c r="S51" s="4">
        <f t="shared" si="6"/>
        <v>160060038</v>
      </c>
      <c r="W51" s="4"/>
      <c r="X51" s="4"/>
      <c r="AD51" s="4" t="s">
        <v>173</v>
      </c>
      <c r="AE51" s="4">
        <v>124000300</v>
      </c>
    </row>
    <row r="52" s="2" customFormat="1" spans="1:31">
      <c r="A52" s="4">
        <v>50</v>
      </c>
      <c r="B52" s="5" t="s">
        <v>174</v>
      </c>
      <c r="C52" s="4" t="s">
        <v>126</v>
      </c>
      <c r="D52" s="24" t="s">
        <v>63</v>
      </c>
      <c r="E52" s="13">
        <v>17</v>
      </c>
      <c r="F52" s="5">
        <v>1</v>
      </c>
      <c r="G52" s="5">
        <v>1</v>
      </c>
      <c r="H52" s="6">
        <f t="shared" si="0"/>
        <v>1</v>
      </c>
      <c r="I52" s="4">
        <f t="shared" si="1"/>
        <v>30126</v>
      </c>
      <c r="J52" s="13">
        <f>ROUND(VLOOKUP(D52,[1]物品容器!$T$3:$U$8,2,FALSE)*M52,0)</f>
        <v>30126</v>
      </c>
      <c r="K52" s="18">
        <f t="shared" si="2"/>
        <v>30126</v>
      </c>
      <c r="L52" s="18">
        <f t="shared" ref="L52:O52" si="55">ROUND($I52*L$2,0)</f>
        <v>18076</v>
      </c>
      <c r="M52" s="19">
        <v>1.00419</v>
      </c>
      <c r="N52" s="18">
        <f t="shared" si="55"/>
        <v>4519</v>
      </c>
      <c r="O52" s="18">
        <f t="shared" si="55"/>
        <v>451890</v>
      </c>
      <c r="P52" s="18">
        <f t="shared" si="4"/>
        <v>271.14</v>
      </c>
      <c r="Q52" s="18">
        <f t="shared" si="5"/>
        <v>1501</v>
      </c>
      <c r="R52" s="2" t="s">
        <v>175</v>
      </c>
      <c r="S52" s="4">
        <f t="shared" si="6"/>
        <v>160060039</v>
      </c>
      <c r="W52" s="4"/>
      <c r="X52" s="4"/>
      <c r="AD52" s="4" t="s">
        <v>176</v>
      </c>
      <c r="AE52" s="4">
        <v>124000400</v>
      </c>
    </row>
    <row r="53" s="2" customFormat="1" spans="1:31">
      <c r="A53" s="4">
        <v>51</v>
      </c>
      <c r="B53" s="5" t="s">
        <v>177</v>
      </c>
      <c r="C53" s="4" t="s">
        <v>126</v>
      </c>
      <c r="D53" s="24" t="s">
        <v>63</v>
      </c>
      <c r="E53" s="13">
        <v>18</v>
      </c>
      <c r="F53" s="5">
        <v>1</v>
      </c>
      <c r="G53" s="5">
        <v>1</v>
      </c>
      <c r="H53" s="6">
        <f t="shared" si="0"/>
        <v>1</v>
      </c>
      <c r="I53" s="4">
        <f t="shared" si="1"/>
        <v>30107</v>
      </c>
      <c r="J53" s="13">
        <f>ROUND(VLOOKUP(D53,[1]物品容器!$T$3:$U$8,2,FALSE)*M53,0)</f>
        <v>30107</v>
      </c>
      <c r="K53" s="18">
        <f t="shared" si="2"/>
        <v>30107</v>
      </c>
      <c r="L53" s="18">
        <f t="shared" ref="L53:O53" si="56">ROUND($I53*L$2,0)</f>
        <v>18064</v>
      </c>
      <c r="M53" s="19">
        <v>1.00357</v>
      </c>
      <c r="N53" s="18">
        <f t="shared" si="56"/>
        <v>4516</v>
      </c>
      <c r="O53" s="18">
        <f t="shared" si="56"/>
        <v>451605</v>
      </c>
      <c r="P53" s="18">
        <f t="shared" si="4"/>
        <v>270.96</v>
      </c>
      <c r="Q53" s="18">
        <f t="shared" si="5"/>
        <v>1500</v>
      </c>
      <c r="R53" s="2" t="s">
        <v>178</v>
      </c>
      <c r="S53" s="4">
        <f t="shared" si="6"/>
        <v>160060040</v>
      </c>
      <c r="W53" s="4"/>
      <c r="X53" s="4"/>
      <c r="AD53" s="4" t="s">
        <v>179</v>
      </c>
      <c r="AE53" s="4">
        <v>124000500</v>
      </c>
    </row>
    <row r="54" s="2" customFormat="1" spans="1:31">
      <c r="A54" s="4">
        <v>52</v>
      </c>
      <c r="B54" s="5" t="s">
        <v>180</v>
      </c>
      <c r="C54" s="4" t="s">
        <v>126</v>
      </c>
      <c r="D54" s="24" t="s">
        <v>63</v>
      </c>
      <c r="E54" s="13">
        <v>19</v>
      </c>
      <c r="F54" s="5">
        <v>1</v>
      </c>
      <c r="G54" s="5">
        <v>1</v>
      </c>
      <c r="H54" s="6">
        <f t="shared" si="0"/>
        <v>1</v>
      </c>
      <c r="I54" s="4">
        <f t="shared" si="1"/>
        <v>29717</v>
      </c>
      <c r="J54" s="13">
        <f>ROUND(VLOOKUP(D54,[1]物品容器!$T$3:$U$8,2,FALSE)*M54,0)</f>
        <v>29717</v>
      </c>
      <c r="K54" s="18">
        <f t="shared" si="2"/>
        <v>29717</v>
      </c>
      <c r="L54" s="18">
        <f t="shared" ref="L54:O54" si="57">ROUND($I54*L$2,0)</f>
        <v>17830</v>
      </c>
      <c r="M54" s="19">
        <v>0.99057</v>
      </c>
      <c r="N54" s="18">
        <f t="shared" si="57"/>
        <v>4458</v>
      </c>
      <c r="O54" s="18">
        <f t="shared" si="57"/>
        <v>445755</v>
      </c>
      <c r="P54" s="18">
        <f t="shared" si="4"/>
        <v>267.45</v>
      </c>
      <c r="Q54" s="18">
        <f t="shared" si="5"/>
        <v>1481</v>
      </c>
      <c r="R54" s="2" t="s">
        <v>181</v>
      </c>
      <c r="S54" s="4">
        <f t="shared" si="6"/>
        <v>160060041</v>
      </c>
      <c r="W54" s="4"/>
      <c r="X54" s="4"/>
      <c r="AD54" s="4" t="s">
        <v>182</v>
      </c>
      <c r="AE54" s="4">
        <v>129000001</v>
      </c>
    </row>
    <row r="55" s="2" customFormat="1" spans="1:31">
      <c r="A55" s="4">
        <v>53</v>
      </c>
      <c r="B55" s="5" t="s">
        <v>183</v>
      </c>
      <c r="C55" s="4" t="s">
        <v>126</v>
      </c>
      <c r="D55" s="24" t="s">
        <v>63</v>
      </c>
      <c r="E55" s="13">
        <v>20</v>
      </c>
      <c r="F55" s="5">
        <v>1</v>
      </c>
      <c r="G55" s="5">
        <v>1</v>
      </c>
      <c r="H55" s="6">
        <f t="shared" si="0"/>
        <v>1</v>
      </c>
      <c r="I55" s="4">
        <f t="shared" si="1"/>
        <v>29843</v>
      </c>
      <c r="J55" s="13">
        <f>ROUND(VLOOKUP(D55,[1]物品容器!$T$3:$U$8,2,FALSE)*M55,0)</f>
        <v>29843</v>
      </c>
      <c r="K55" s="18">
        <f t="shared" si="2"/>
        <v>29843</v>
      </c>
      <c r="L55" s="18">
        <f t="shared" ref="L55:O55" si="58">ROUND($I55*L$2,0)</f>
        <v>17906</v>
      </c>
      <c r="M55" s="19">
        <v>0.99478</v>
      </c>
      <c r="N55" s="18">
        <f t="shared" si="58"/>
        <v>4476</v>
      </c>
      <c r="O55" s="18">
        <f t="shared" si="58"/>
        <v>447645</v>
      </c>
      <c r="P55" s="18">
        <f t="shared" si="4"/>
        <v>268.59</v>
      </c>
      <c r="Q55" s="18">
        <f t="shared" si="5"/>
        <v>1487</v>
      </c>
      <c r="R55" s="2" t="s">
        <v>184</v>
      </c>
      <c r="S55" s="4">
        <f t="shared" si="6"/>
        <v>160060042</v>
      </c>
      <c r="W55" s="4"/>
      <c r="X55" s="4"/>
      <c r="AD55" s="4" t="s">
        <v>185</v>
      </c>
      <c r="AE55" s="4">
        <v>129000002</v>
      </c>
    </row>
    <row r="56" s="2" customFormat="1" spans="1:31">
      <c r="A56" s="4">
        <v>54</v>
      </c>
      <c r="B56" s="5" t="s">
        <v>186</v>
      </c>
      <c r="C56" s="4" t="s">
        <v>126</v>
      </c>
      <c r="D56" s="24" t="s">
        <v>63</v>
      </c>
      <c r="E56" s="13">
        <v>21</v>
      </c>
      <c r="F56" s="5">
        <v>2</v>
      </c>
      <c r="G56" s="5">
        <v>2</v>
      </c>
      <c r="H56" s="6">
        <f t="shared" si="0"/>
        <v>0.91</v>
      </c>
      <c r="I56" s="4">
        <f t="shared" si="1"/>
        <v>108927</v>
      </c>
      <c r="J56" s="13">
        <f>ROUND(VLOOKUP(D56,[1]物品容器!$T$3:$U$8,2,FALSE)*M56,0)</f>
        <v>29925</v>
      </c>
      <c r="K56" s="18">
        <f t="shared" si="2"/>
        <v>27232</v>
      </c>
      <c r="L56" s="18">
        <f t="shared" ref="L56:O56" si="59">ROUND($I56*L$2,0)</f>
        <v>65356</v>
      </c>
      <c r="M56" s="19">
        <v>0.99749</v>
      </c>
      <c r="N56" s="18">
        <f t="shared" si="59"/>
        <v>16339</v>
      </c>
      <c r="O56" s="18">
        <f t="shared" si="59"/>
        <v>1633905</v>
      </c>
      <c r="P56" s="18">
        <f t="shared" si="4"/>
        <v>980.34</v>
      </c>
      <c r="Q56" s="18">
        <f t="shared" si="5"/>
        <v>5428</v>
      </c>
      <c r="R56" s="2" t="s">
        <v>187</v>
      </c>
      <c r="S56" s="4">
        <f t="shared" si="6"/>
        <v>160060043</v>
      </c>
      <c r="W56" s="4"/>
      <c r="X56" s="4"/>
      <c r="AD56" s="4" t="s">
        <v>188</v>
      </c>
      <c r="AE56" s="4">
        <v>141010101</v>
      </c>
    </row>
    <row r="57" s="2" customFormat="1" spans="1:31">
      <c r="A57" s="4">
        <v>55</v>
      </c>
      <c r="B57" s="5" t="s">
        <v>189</v>
      </c>
      <c r="C57" s="4" t="s">
        <v>126</v>
      </c>
      <c r="D57" s="24" t="s">
        <v>63</v>
      </c>
      <c r="E57" s="13">
        <v>22</v>
      </c>
      <c r="F57" s="5">
        <v>1</v>
      </c>
      <c r="G57" s="23">
        <v>2</v>
      </c>
      <c r="H57" s="6">
        <f t="shared" si="0"/>
        <v>0.97</v>
      </c>
      <c r="I57" s="4">
        <f t="shared" si="1"/>
        <v>58043</v>
      </c>
      <c r="J57" s="13">
        <f>ROUND(VLOOKUP(D57,[1]物品容器!$T$3:$U$8,2,FALSE)*M57,0)</f>
        <v>29919</v>
      </c>
      <c r="K57" s="18">
        <f t="shared" si="2"/>
        <v>29021</v>
      </c>
      <c r="L57" s="18">
        <f t="shared" ref="L57:O57" si="60">ROUND($I57*L$2,0)</f>
        <v>34826</v>
      </c>
      <c r="M57" s="19">
        <v>0.99731</v>
      </c>
      <c r="N57" s="18">
        <f t="shared" si="60"/>
        <v>8706</v>
      </c>
      <c r="O57" s="18">
        <f t="shared" si="60"/>
        <v>870645</v>
      </c>
      <c r="P57" s="18">
        <f t="shared" si="4"/>
        <v>522.39</v>
      </c>
      <c r="Q57" s="18">
        <f t="shared" si="5"/>
        <v>2892</v>
      </c>
      <c r="R57" s="2" t="s">
        <v>190</v>
      </c>
      <c r="S57" s="4">
        <f t="shared" si="6"/>
        <v>160060044</v>
      </c>
      <c r="W57" s="4"/>
      <c r="X57" s="4"/>
      <c r="AD57" s="4" t="s">
        <v>191</v>
      </c>
      <c r="AE57" s="4">
        <v>141010201</v>
      </c>
    </row>
    <row r="58" s="2" customFormat="1" spans="1:31">
      <c r="A58" s="4">
        <v>56</v>
      </c>
      <c r="B58" s="5" t="s">
        <v>192</v>
      </c>
      <c r="C58" s="4" t="s">
        <v>126</v>
      </c>
      <c r="D58" s="24" t="s">
        <v>63</v>
      </c>
      <c r="E58" s="13">
        <v>23</v>
      </c>
      <c r="F58" s="5">
        <v>1</v>
      </c>
      <c r="G58" s="5">
        <v>2</v>
      </c>
      <c r="H58" s="6">
        <f t="shared" si="0"/>
        <v>0.97</v>
      </c>
      <c r="I58" s="4">
        <f t="shared" si="1"/>
        <v>58559</v>
      </c>
      <c r="J58" s="13">
        <f>ROUND(VLOOKUP(D58,[1]物品容器!$T$3:$U$8,2,FALSE)*M58,0)</f>
        <v>30185</v>
      </c>
      <c r="K58" s="18">
        <f t="shared" si="2"/>
        <v>29279</v>
      </c>
      <c r="L58" s="18">
        <f t="shared" ref="L58:O58" si="61">ROUND($I58*L$2,0)</f>
        <v>35135</v>
      </c>
      <c r="M58" s="19">
        <v>1.00617</v>
      </c>
      <c r="N58" s="18">
        <f t="shared" si="61"/>
        <v>8784</v>
      </c>
      <c r="O58" s="18">
        <f t="shared" si="61"/>
        <v>878385</v>
      </c>
      <c r="P58" s="18">
        <f t="shared" si="4"/>
        <v>527.025</v>
      </c>
      <c r="Q58" s="18">
        <f t="shared" si="5"/>
        <v>2918</v>
      </c>
      <c r="R58" s="2" t="s">
        <v>193</v>
      </c>
      <c r="S58" s="4">
        <f t="shared" si="6"/>
        <v>160060045</v>
      </c>
      <c r="W58" s="4"/>
      <c r="X58" s="4"/>
      <c r="AD58" s="4" t="s">
        <v>194</v>
      </c>
      <c r="AE58" s="4">
        <v>141010301</v>
      </c>
    </row>
    <row r="59" s="2" customFormat="1" spans="1:31">
      <c r="A59" s="4">
        <v>57</v>
      </c>
      <c r="B59" s="5" t="s">
        <v>195</v>
      </c>
      <c r="C59" s="4" t="s">
        <v>126</v>
      </c>
      <c r="D59" s="25" t="s">
        <v>76</v>
      </c>
      <c r="E59" s="13">
        <v>24</v>
      </c>
      <c r="F59" s="5">
        <v>1</v>
      </c>
      <c r="G59" s="5">
        <v>2</v>
      </c>
      <c r="H59" s="6">
        <f t="shared" si="0"/>
        <v>0.97</v>
      </c>
      <c r="I59" s="4">
        <f t="shared" si="1"/>
        <v>19313</v>
      </c>
      <c r="J59" s="13">
        <f>ROUND(VLOOKUP(D59,[1]物品容器!$T$3:$U$8,2,FALSE)*M59,0)</f>
        <v>9955</v>
      </c>
      <c r="K59" s="18">
        <f t="shared" si="2"/>
        <v>9656</v>
      </c>
      <c r="L59" s="18">
        <f t="shared" ref="L59:O59" si="62">ROUND($I59*L$2,0)</f>
        <v>11588</v>
      </c>
      <c r="M59" s="19">
        <v>0.99545</v>
      </c>
      <c r="N59" s="18">
        <f t="shared" si="62"/>
        <v>2897</v>
      </c>
      <c r="O59" s="18">
        <f t="shared" si="62"/>
        <v>289695</v>
      </c>
      <c r="P59" s="18">
        <f t="shared" si="4"/>
        <v>173.82</v>
      </c>
      <c r="Q59" s="18">
        <f t="shared" si="5"/>
        <v>962</v>
      </c>
      <c r="R59" s="2" t="s">
        <v>196</v>
      </c>
      <c r="S59" s="4">
        <f t="shared" si="6"/>
        <v>160060027</v>
      </c>
      <c r="W59" s="4"/>
      <c r="X59" s="4"/>
      <c r="AD59" s="4" t="s">
        <v>197</v>
      </c>
      <c r="AE59" s="4">
        <v>141010401</v>
      </c>
    </row>
    <row r="60" s="2" customFormat="1" spans="1:31">
      <c r="A60" s="4">
        <v>58</v>
      </c>
      <c r="B60" s="5" t="s">
        <v>198</v>
      </c>
      <c r="C60" s="4" t="s">
        <v>126</v>
      </c>
      <c r="D60" s="25" t="s">
        <v>76</v>
      </c>
      <c r="E60" s="13">
        <v>25</v>
      </c>
      <c r="F60" s="5">
        <v>1</v>
      </c>
      <c r="G60" s="5">
        <v>1</v>
      </c>
      <c r="H60" s="6">
        <f t="shared" si="0"/>
        <v>1</v>
      </c>
      <c r="I60" s="4">
        <f t="shared" si="1"/>
        <v>10038</v>
      </c>
      <c r="J60" s="13">
        <f>ROUND(VLOOKUP(D60,[1]物品容器!$T$3:$U$8,2,FALSE)*M60,0)</f>
        <v>10038</v>
      </c>
      <c r="K60" s="18">
        <f t="shared" si="2"/>
        <v>10038</v>
      </c>
      <c r="L60" s="18">
        <f t="shared" ref="L60:O60" si="63">ROUND($I60*L$2,0)</f>
        <v>6023</v>
      </c>
      <c r="M60" s="19">
        <v>1.00383</v>
      </c>
      <c r="N60" s="18">
        <f t="shared" si="63"/>
        <v>1506</v>
      </c>
      <c r="O60" s="18">
        <f t="shared" si="63"/>
        <v>150570</v>
      </c>
      <c r="P60" s="18">
        <f t="shared" si="4"/>
        <v>90.345</v>
      </c>
      <c r="Q60" s="18">
        <f t="shared" si="5"/>
        <v>500</v>
      </c>
      <c r="R60" s="2" t="s">
        <v>199</v>
      </c>
      <c r="S60" s="4">
        <f t="shared" si="6"/>
        <v>160060028</v>
      </c>
      <c r="W60" s="4"/>
      <c r="X60" s="4"/>
      <c r="AD60" s="4" t="s">
        <v>200</v>
      </c>
      <c r="AE60" s="4">
        <v>141010501</v>
      </c>
    </row>
    <row r="61" s="2" customFormat="1" spans="1:31">
      <c r="A61" s="4">
        <v>59</v>
      </c>
      <c r="B61" s="5" t="s">
        <v>201</v>
      </c>
      <c r="C61" s="4" t="s">
        <v>126</v>
      </c>
      <c r="D61" s="25" t="s">
        <v>76</v>
      </c>
      <c r="E61" s="13">
        <v>26</v>
      </c>
      <c r="F61" s="5">
        <v>1</v>
      </c>
      <c r="G61" s="5">
        <v>1</v>
      </c>
      <c r="H61" s="6">
        <f t="shared" si="0"/>
        <v>1</v>
      </c>
      <c r="I61" s="4">
        <f t="shared" si="1"/>
        <v>10071</v>
      </c>
      <c r="J61" s="13">
        <f>ROUND(VLOOKUP(D61,[1]物品容器!$T$3:$U$8,2,FALSE)*M61,0)</f>
        <v>10071</v>
      </c>
      <c r="K61" s="18">
        <f t="shared" si="2"/>
        <v>10071</v>
      </c>
      <c r="L61" s="18">
        <f t="shared" ref="L61:O61" si="64">ROUND($I61*L$2,0)</f>
        <v>6043</v>
      </c>
      <c r="M61" s="19">
        <v>1.00706</v>
      </c>
      <c r="N61" s="18">
        <f t="shared" si="64"/>
        <v>1511</v>
      </c>
      <c r="O61" s="18">
        <f t="shared" si="64"/>
        <v>151065</v>
      </c>
      <c r="P61" s="18">
        <f t="shared" si="4"/>
        <v>90.645</v>
      </c>
      <c r="Q61" s="18">
        <f t="shared" si="5"/>
        <v>502</v>
      </c>
      <c r="R61" s="2" t="s">
        <v>202</v>
      </c>
      <c r="S61" s="4">
        <f t="shared" si="6"/>
        <v>160060029</v>
      </c>
      <c r="W61" s="4"/>
      <c r="X61" s="4"/>
      <c r="AD61" s="4" t="s">
        <v>203</v>
      </c>
      <c r="AE61" s="4">
        <v>141010601</v>
      </c>
    </row>
    <row r="62" s="2" customFormat="1" spans="1:31">
      <c r="A62" s="4">
        <v>60</v>
      </c>
      <c r="B62" s="5" t="s">
        <v>204</v>
      </c>
      <c r="C62" s="4" t="s">
        <v>126</v>
      </c>
      <c r="D62" s="25" t="s">
        <v>76</v>
      </c>
      <c r="E62" s="13">
        <v>27</v>
      </c>
      <c r="F62" s="5">
        <v>1</v>
      </c>
      <c r="G62" s="5">
        <v>1</v>
      </c>
      <c r="H62" s="6">
        <f t="shared" si="0"/>
        <v>1</v>
      </c>
      <c r="I62" s="4">
        <f t="shared" si="1"/>
        <v>9917</v>
      </c>
      <c r="J62" s="13">
        <f>ROUND(VLOOKUP(D62,[1]物品容器!$T$3:$U$8,2,FALSE)*M62,0)</f>
        <v>9917</v>
      </c>
      <c r="K62" s="18">
        <f t="shared" si="2"/>
        <v>9917</v>
      </c>
      <c r="L62" s="18">
        <f t="shared" ref="L62:O62" si="65">ROUND($I62*L$2,0)</f>
        <v>5950</v>
      </c>
      <c r="M62" s="19">
        <v>0.9917</v>
      </c>
      <c r="N62" s="18">
        <f t="shared" si="65"/>
        <v>1488</v>
      </c>
      <c r="O62" s="18">
        <f t="shared" si="65"/>
        <v>148755</v>
      </c>
      <c r="P62" s="18">
        <f t="shared" si="4"/>
        <v>89.25</v>
      </c>
      <c r="Q62" s="18">
        <f t="shared" si="5"/>
        <v>494</v>
      </c>
      <c r="R62" s="2" t="s">
        <v>205</v>
      </c>
      <c r="S62" s="4">
        <f t="shared" si="6"/>
        <v>160060030</v>
      </c>
      <c r="W62" s="4"/>
      <c r="X62" s="4"/>
      <c r="AD62" s="4" t="s">
        <v>206</v>
      </c>
      <c r="AE62" s="4">
        <v>141020101</v>
      </c>
    </row>
    <row r="63" s="2" customFormat="1" spans="1:31">
      <c r="A63" s="4">
        <v>61</v>
      </c>
      <c r="B63" s="5" t="s">
        <v>207</v>
      </c>
      <c r="C63" s="4" t="s">
        <v>126</v>
      </c>
      <c r="D63" s="25" t="s">
        <v>76</v>
      </c>
      <c r="E63" s="13">
        <v>28</v>
      </c>
      <c r="F63" s="5">
        <v>1</v>
      </c>
      <c r="G63" s="5">
        <v>1</v>
      </c>
      <c r="H63" s="6">
        <f t="shared" si="0"/>
        <v>1</v>
      </c>
      <c r="I63" s="4">
        <f t="shared" si="1"/>
        <v>10070</v>
      </c>
      <c r="J63" s="13">
        <f>ROUND(VLOOKUP(D63,[1]物品容器!$T$3:$U$8,2,FALSE)*M63,0)</f>
        <v>10070</v>
      </c>
      <c r="K63" s="18">
        <f t="shared" si="2"/>
        <v>10070</v>
      </c>
      <c r="L63" s="18">
        <f t="shared" ref="L63:O63" si="66">ROUND($I63*L$2,0)</f>
        <v>6042</v>
      </c>
      <c r="M63" s="19">
        <v>1.00699</v>
      </c>
      <c r="N63" s="18">
        <f t="shared" si="66"/>
        <v>1511</v>
      </c>
      <c r="O63" s="18">
        <f t="shared" si="66"/>
        <v>151050</v>
      </c>
      <c r="P63" s="18">
        <f t="shared" si="4"/>
        <v>90.63</v>
      </c>
      <c r="Q63" s="18">
        <f t="shared" si="5"/>
        <v>502</v>
      </c>
      <c r="R63" s="2" t="s">
        <v>208</v>
      </c>
      <c r="S63" s="4">
        <f t="shared" si="6"/>
        <v>160060031</v>
      </c>
      <c r="W63" s="4"/>
      <c r="X63" s="4"/>
      <c r="AD63" s="4" t="s">
        <v>209</v>
      </c>
      <c r="AE63" s="4">
        <v>141020201</v>
      </c>
    </row>
    <row r="64" s="2" customFormat="1" spans="1:31">
      <c r="A64" s="4">
        <v>62</v>
      </c>
      <c r="B64" s="5" t="s">
        <v>210</v>
      </c>
      <c r="C64" s="4" t="s">
        <v>126</v>
      </c>
      <c r="D64" s="25" t="s">
        <v>76</v>
      </c>
      <c r="E64" s="13">
        <v>29</v>
      </c>
      <c r="F64" s="5">
        <v>1</v>
      </c>
      <c r="G64" s="5">
        <v>1</v>
      </c>
      <c r="H64" s="6">
        <f t="shared" si="0"/>
        <v>1</v>
      </c>
      <c r="I64" s="4">
        <f t="shared" si="1"/>
        <v>10019</v>
      </c>
      <c r="J64" s="13">
        <f>ROUND(VLOOKUP(D64,[1]物品容器!$T$3:$U$8,2,FALSE)*M64,0)</f>
        <v>10019</v>
      </c>
      <c r="K64" s="18">
        <f t="shared" si="2"/>
        <v>10019</v>
      </c>
      <c r="L64" s="18">
        <f t="shared" ref="L64:O64" si="67">ROUND($I64*L$2,0)</f>
        <v>6011</v>
      </c>
      <c r="M64" s="19">
        <v>1.00194</v>
      </c>
      <c r="N64" s="18">
        <f t="shared" si="67"/>
        <v>1503</v>
      </c>
      <c r="O64" s="18">
        <f t="shared" si="67"/>
        <v>150285</v>
      </c>
      <c r="P64" s="18">
        <f t="shared" si="4"/>
        <v>90.165</v>
      </c>
      <c r="Q64" s="18">
        <f t="shared" si="5"/>
        <v>499</v>
      </c>
      <c r="R64" s="2" t="s">
        <v>211</v>
      </c>
      <c r="S64" s="4">
        <f t="shared" si="6"/>
        <v>160060032</v>
      </c>
      <c r="W64" s="4"/>
      <c r="X64" s="4"/>
      <c r="AD64" s="4" t="s">
        <v>212</v>
      </c>
      <c r="AE64" s="4">
        <v>141020301</v>
      </c>
    </row>
    <row r="65" s="2" customFormat="1" spans="1:32">
      <c r="A65" s="4">
        <v>63</v>
      </c>
      <c r="B65" s="5" t="s">
        <v>213</v>
      </c>
      <c r="C65" s="4" t="s">
        <v>126</v>
      </c>
      <c r="D65" s="25" t="s">
        <v>76</v>
      </c>
      <c r="E65" s="13">
        <v>30</v>
      </c>
      <c r="F65" s="5">
        <v>1</v>
      </c>
      <c r="G65" s="5">
        <v>1</v>
      </c>
      <c r="H65" s="6">
        <f t="shared" si="0"/>
        <v>1</v>
      </c>
      <c r="I65" s="4">
        <f t="shared" si="1"/>
        <v>9999</v>
      </c>
      <c r="J65" s="13">
        <f>ROUND(VLOOKUP(D65,[1]物品容器!$T$3:$U$8,2,FALSE)*M65,0)</f>
        <v>9999</v>
      </c>
      <c r="K65" s="18">
        <f t="shared" si="2"/>
        <v>9999</v>
      </c>
      <c r="L65" s="18">
        <f t="shared" ref="L65:O65" si="68">ROUND($I65*L$2,0)</f>
        <v>5999</v>
      </c>
      <c r="M65" s="19">
        <v>0.99991</v>
      </c>
      <c r="N65" s="18">
        <f t="shared" si="68"/>
        <v>1500</v>
      </c>
      <c r="O65" s="18">
        <f t="shared" si="68"/>
        <v>149985</v>
      </c>
      <c r="P65" s="18">
        <f t="shared" si="4"/>
        <v>89.985</v>
      </c>
      <c r="Q65" s="18">
        <f t="shared" si="5"/>
        <v>498</v>
      </c>
      <c r="R65" s="2" t="s">
        <v>214</v>
      </c>
      <c r="S65" s="4">
        <f t="shared" si="6"/>
        <v>160060033</v>
      </c>
      <c r="W65" s="4"/>
      <c r="X65" s="4"/>
      <c r="AD65" s="4" t="s">
        <v>215</v>
      </c>
      <c r="AE65" s="4">
        <v>141020401</v>
      </c>
    </row>
    <row r="66" s="2" customFormat="1" spans="1:32">
      <c r="A66" s="4">
        <v>64</v>
      </c>
      <c r="B66" s="5" t="s">
        <v>216</v>
      </c>
      <c r="C66" s="4" t="s">
        <v>126</v>
      </c>
      <c r="D66" s="25" t="s">
        <v>76</v>
      </c>
      <c r="E66" s="13">
        <v>31</v>
      </c>
      <c r="F66" s="5">
        <v>2</v>
      </c>
      <c r="G66" s="5">
        <v>2</v>
      </c>
      <c r="H66" s="6">
        <f t="shared" si="0"/>
        <v>0.91</v>
      </c>
      <c r="I66" s="4">
        <f t="shared" si="1"/>
        <v>36138</v>
      </c>
      <c r="J66" s="13">
        <f>ROUND(VLOOKUP(D66,[1]物品容器!$T$3:$U$8,2,FALSE)*M66,0)</f>
        <v>9928</v>
      </c>
      <c r="K66" s="18">
        <f t="shared" si="2"/>
        <v>9034</v>
      </c>
      <c r="L66" s="18">
        <f t="shared" ref="L66:O66" si="69">ROUND($I66*L$2,0)</f>
        <v>21683</v>
      </c>
      <c r="M66" s="19">
        <v>0.9928</v>
      </c>
      <c r="N66" s="18">
        <f t="shared" si="69"/>
        <v>5421</v>
      </c>
      <c r="O66" s="18">
        <f t="shared" si="69"/>
        <v>542070</v>
      </c>
      <c r="P66" s="18">
        <f t="shared" si="4"/>
        <v>325.245</v>
      </c>
      <c r="Q66" s="18">
        <f t="shared" si="5"/>
        <v>1801</v>
      </c>
      <c r="R66" s="2" t="s">
        <v>217</v>
      </c>
      <c r="S66" s="4">
        <f t="shared" si="6"/>
        <v>160060034</v>
      </c>
      <c r="W66" s="4"/>
      <c r="X66" s="4"/>
      <c r="AD66" s="4" t="s">
        <v>218</v>
      </c>
      <c r="AE66" s="4">
        <v>141020501</v>
      </c>
    </row>
    <row r="67" s="2" customFormat="1" spans="1:32">
      <c r="A67" s="4">
        <v>65</v>
      </c>
      <c r="B67" s="5" t="s">
        <v>219</v>
      </c>
      <c r="C67" s="4" t="s">
        <v>126</v>
      </c>
      <c r="D67" s="25" t="s">
        <v>76</v>
      </c>
      <c r="E67" s="13">
        <v>32</v>
      </c>
      <c r="F67" s="5">
        <v>1</v>
      </c>
      <c r="G67" s="5">
        <v>1</v>
      </c>
      <c r="H67" s="6">
        <f t="shared" ref="H67:H130" si="70">VLOOKUP(F67*G67,$T$3:$U$11,2,FALSE)</f>
        <v>1</v>
      </c>
      <c r="I67" s="4">
        <f t="shared" ref="I67:I130" si="71">ROUND(F67*G67*J67*H67,0)</f>
        <v>9990</v>
      </c>
      <c r="J67" s="13">
        <f>ROUND(VLOOKUP(D67,[1]物品容器!$T$3:$U$8,2,FALSE)*M67,0)</f>
        <v>9990</v>
      </c>
      <c r="K67" s="18">
        <f t="shared" ref="K67:K130" si="72">ROUND(J67*H67,0)</f>
        <v>9990</v>
      </c>
      <c r="L67" s="18">
        <f t="shared" ref="L67:O67" si="73">ROUND($I67*L$2,0)</f>
        <v>5994</v>
      </c>
      <c r="M67" s="19">
        <v>0.99899</v>
      </c>
      <c r="N67" s="18">
        <f t="shared" si="73"/>
        <v>1499</v>
      </c>
      <c r="O67" s="18">
        <f t="shared" si="73"/>
        <v>149850</v>
      </c>
      <c r="P67" s="18">
        <f t="shared" ref="P67:P130" si="74">L67*1.5%</f>
        <v>89.91</v>
      </c>
      <c r="Q67" s="18">
        <f t="shared" ref="Q67:Q130" si="75">ROUND((O67-N67)*$Q$2,0)</f>
        <v>498</v>
      </c>
      <c r="R67" s="2" t="s">
        <v>220</v>
      </c>
      <c r="S67" s="4">
        <f t="shared" ref="S67:S130" si="76">VLOOKUP(B67,$AD:$AE,2,FALSE)</f>
        <v>160060035</v>
      </c>
      <c r="W67" s="4"/>
      <c r="X67" s="4"/>
      <c r="AD67" s="4" t="s">
        <v>221</v>
      </c>
      <c r="AE67" s="4">
        <v>141020601</v>
      </c>
    </row>
    <row r="68" s="2" customFormat="1" spans="1:32">
      <c r="A68" s="4">
        <v>66</v>
      </c>
      <c r="B68" s="5" t="s">
        <v>222</v>
      </c>
      <c r="C68" s="4" t="s">
        <v>126</v>
      </c>
      <c r="D68" s="26" t="s">
        <v>94</v>
      </c>
      <c r="E68" s="13">
        <v>33</v>
      </c>
      <c r="F68" s="5">
        <v>1</v>
      </c>
      <c r="G68" s="5">
        <v>1</v>
      </c>
      <c r="H68" s="6">
        <f t="shared" si="70"/>
        <v>1</v>
      </c>
      <c r="I68" s="4">
        <f t="shared" si="71"/>
        <v>3025</v>
      </c>
      <c r="J68" s="13">
        <f>ROUND(VLOOKUP(D68,[1]物品容器!$T$3:$U$8,2,FALSE)*M68,0)</f>
        <v>3025</v>
      </c>
      <c r="K68" s="18">
        <f t="shared" si="72"/>
        <v>3025</v>
      </c>
      <c r="L68" s="18">
        <f t="shared" ref="L68:O68" si="77">ROUND($I68*L$2,0)</f>
        <v>1815</v>
      </c>
      <c r="M68" s="19">
        <v>1.00827</v>
      </c>
      <c r="N68" s="18">
        <f t="shared" si="77"/>
        <v>454</v>
      </c>
      <c r="O68" s="18">
        <f t="shared" si="77"/>
        <v>45375</v>
      </c>
      <c r="P68" s="18">
        <f t="shared" si="74"/>
        <v>27.225</v>
      </c>
      <c r="Q68" s="18">
        <f t="shared" si="75"/>
        <v>151</v>
      </c>
      <c r="R68" s="2" t="s">
        <v>223</v>
      </c>
      <c r="S68" s="4">
        <f t="shared" si="76"/>
        <v>160060013</v>
      </c>
      <c r="W68" s="4"/>
      <c r="X68" s="4"/>
      <c r="AD68" s="4" t="s">
        <v>224</v>
      </c>
      <c r="AE68" s="4">
        <v>150000001</v>
      </c>
    </row>
    <row r="69" s="2" customFormat="1" spans="1:32">
      <c r="A69" s="4">
        <v>67</v>
      </c>
      <c r="B69" s="5" t="s">
        <v>225</v>
      </c>
      <c r="C69" s="4" t="s">
        <v>126</v>
      </c>
      <c r="D69" s="26" t="s">
        <v>94</v>
      </c>
      <c r="E69" s="13">
        <v>34</v>
      </c>
      <c r="F69" s="5">
        <v>1</v>
      </c>
      <c r="G69" s="5">
        <v>2</v>
      </c>
      <c r="H69" s="6">
        <f t="shared" si="70"/>
        <v>0.97</v>
      </c>
      <c r="I69" s="4">
        <f t="shared" si="71"/>
        <v>5851</v>
      </c>
      <c r="J69" s="13">
        <f>ROUND(VLOOKUP(D69,[1]物品容器!$T$3:$U$8,2,FALSE)*M69,0)</f>
        <v>3016</v>
      </c>
      <c r="K69" s="18">
        <f t="shared" si="72"/>
        <v>2926</v>
      </c>
      <c r="L69" s="18">
        <f t="shared" ref="L69:O69" si="78">ROUND($I69*L$2,0)</f>
        <v>3511</v>
      </c>
      <c r="M69" s="19">
        <v>1.00531</v>
      </c>
      <c r="N69" s="18">
        <f t="shared" si="78"/>
        <v>878</v>
      </c>
      <c r="O69" s="18">
        <f t="shared" si="78"/>
        <v>87765</v>
      </c>
      <c r="P69" s="18">
        <f t="shared" si="74"/>
        <v>52.665</v>
      </c>
      <c r="Q69" s="18">
        <f t="shared" si="75"/>
        <v>292</v>
      </c>
      <c r="R69" s="2" t="s">
        <v>226</v>
      </c>
      <c r="S69" s="4">
        <f t="shared" si="76"/>
        <v>160060014</v>
      </c>
      <c r="W69" s="4"/>
      <c r="X69" s="4"/>
      <c r="AD69" s="4" t="s">
        <v>227</v>
      </c>
      <c r="AE69" s="4">
        <v>150000002</v>
      </c>
    </row>
    <row r="70" s="2" customFormat="1" spans="1:32">
      <c r="A70" s="4">
        <v>68</v>
      </c>
      <c r="B70" s="5" t="s">
        <v>228</v>
      </c>
      <c r="C70" s="4" t="s">
        <v>126</v>
      </c>
      <c r="D70" s="26" t="s">
        <v>94</v>
      </c>
      <c r="E70" s="13">
        <v>35</v>
      </c>
      <c r="F70" s="5">
        <v>2</v>
      </c>
      <c r="G70" s="5">
        <v>2</v>
      </c>
      <c r="H70" s="6">
        <f t="shared" si="70"/>
        <v>0.91</v>
      </c>
      <c r="I70" s="4">
        <f t="shared" si="71"/>
        <v>11029</v>
      </c>
      <c r="J70" s="13">
        <f>ROUND(VLOOKUP(D70,[1]物品容器!$T$3:$U$8,2,FALSE)*M70,0)</f>
        <v>3030</v>
      </c>
      <c r="K70" s="18">
        <f t="shared" si="72"/>
        <v>2757</v>
      </c>
      <c r="L70" s="18">
        <f t="shared" ref="L70:O70" si="79">ROUND($I70*L$2,0)</f>
        <v>6617</v>
      </c>
      <c r="M70" s="19">
        <v>1.00985</v>
      </c>
      <c r="N70" s="18">
        <f t="shared" si="79"/>
        <v>1654</v>
      </c>
      <c r="O70" s="18">
        <f t="shared" si="79"/>
        <v>165435</v>
      </c>
      <c r="P70" s="18">
        <f t="shared" si="74"/>
        <v>99.255</v>
      </c>
      <c r="Q70" s="18">
        <f t="shared" si="75"/>
        <v>550</v>
      </c>
      <c r="R70" s="2" t="s">
        <v>229</v>
      </c>
      <c r="S70" s="4">
        <f t="shared" si="76"/>
        <v>160060015</v>
      </c>
      <c r="W70" s="4"/>
      <c r="X70" s="4"/>
      <c r="AD70" s="4" t="s">
        <v>230</v>
      </c>
      <c r="AE70" s="4">
        <v>150000003</v>
      </c>
    </row>
    <row r="71" s="2" customFormat="1" spans="1:32">
      <c r="A71" s="4">
        <v>69</v>
      </c>
      <c r="B71" s="5" t="s">
        <v>231</v>
      </c>
      <c r="C71" s="4" t="s">
        <v>126</v>
      </c>
      <c r="D71" s="26" t="s">
        <v>94</v>
      </c>
      <c r="E71" s="13">
        <v>36</v>
      </c>
      <c r="F71" s="5">
        <v>2</v>
      </c>
      <c r="G71" s="5">
        <v>2</v>
      </c>
      <c r="H71" s="6">
        <f t="shared" si="70"/>
        <v>0.91</v>
      </c>
      <c r="I71" s="4">
        <f t="shared" si="71"/>
        <v>10953</v>
      </c>
      <c r="J71" s="13">
        <f>ROUND(VLOOKUP(D71,[1]物品容器!$T$3:$U$8,2,FALSE)*M71,0)</f>
        <v>3009</v>
      </c>
      <c r="K71" s="18">
        <f t="shared" si="72"/>
        <v>2738</v>
      </c>
      <c r="L71" s="18">
        <f t="shared" ref="L71:O71" si="80">ROUND($I71*L$2,0)</f>
        <v>6572</v>
      </c>
      <c r="M71" s="19">
        <v>1.003</v>
      </c>
      <c r="N71" s="18">
        <f t="shared" si="80"/>
        <v>1643</v>
      </c>
      <c r="O71" s="18">
        <f t="shared" si="80"/>
        <v>164295</v>
      </c>
      <c r="P71" s="18">
        <f t="shared" si="74"/>
        <v>98.58</v>
      </c>
      <c r="Q71" s="18">
        <f t="shared" si="75"/>
        <v>546</v>
      </c>
      <c r="R71" s="2" t="s">
        <v>232</v>
      </c>
      <c r="S71" s="4">
        <f t="shared" si="76"/>
        <v>160060016</v>
      </c>
      <c r="W71" s="4"/>
      <c r="X71" s="4"/>
      <c r="AD71" s="4" t="s">
        <v>233</v>
      </c>
      <c r="AE71" s="4">
        <v>151000001</v>
      </c>
      <c r="AF71" s="2" t="str">
        <f>_xlfn.TEXTJOIN(",",TRUE,AE71:AE76)</f>
        <v>151000001,151000002,151000003,152000001,152000002,152000003</v>
      </c>
    </row>
    <row r="72" s="2" customFormat="1" spans="1:32">
      <c r="A72" s="4">
        <v>70</v>
      </c>
      <c r="B72" s="5" t="s">
        <v>234</v>
      </c>
      <c r="C72" s="4" t="s">
        <v>126</v>
      </c>
      <c r="D72" s="26" t="s">
        <v>94</v>
      </c>
      <c r="E72" s="13">
        <v>37</v>
      </c>
      <c r="F72" s="5">
        <v>1</v>
      </c>
      <c r="G72" s="5">
        <v>1</v>
      </c>
      <c r="H72" s="6">
        <f t="shared" si="70"/>
        <v>1</v>
      </c>
      <c r="I72" s="4">
        <f t="shared" si="71"/>
        <v>2977</v>
      </c>
      <c r="J72" s="13">
        <f>ROUND(VLOOKUP(D72,[1]物品容器!$T$3:$U$8,2,FALSE)*M72,0)</f>
        <v>2977</v>
      </c>
      <c r="K72" s="18">
        <f t="shared" si="72"/>
        <v>2977</v>
      </c>
      <c r="L72" s="18">
        <f t="shared" ref="L72:O72" si="81">ROUND($I72*L$2,0)</f>
        <v>1786</v>
      </c>
      <c r="M72" s="19">
        <v>0.99218</v>
      </c>
      <c r="N72" s="18">
        <f t="shared" si="81"/>
        <v>447</v>
      </c>
      <c r="O72" s="18">
        <f t="shared" si="81"/>
        <v>44655</v>
      </c>
      <c r="P72" s="18">
        <f t="shared" si="74"/>
        <v>26.79</v>
      </c>
      <c r="Q72" s="18">
        <f t="shared" si="75"/>
        <v>148</v>
      </c>
      <c r="R72" s="2" t="s">
        <v>235</v>
      </c>
      <c r="S72" s="4">
        <f t="shared" si="76"/>
        <v>160060017</v>
      </c>
      <c r="W72" s="4"/>
      <c r="X72" s="4"/>
      <c r="AD72" s="4" t="s">
        <v>236</v>
      </c>
      <c r="AE72" s="4">
        <v>151000002</v>
      </c>
    </row>
    <row r="73" s="2" customFormat="1" spans="1:32">
      <c r="A73" s="4">
        <v>71</v>
      </c>
      <c r="B73" s="5" t="s">
        <v>237</v>
      </c>
      <c r="C73" s="4" t="s">
        <v>126</v>
      </c>
      <c r="D73" s="26" t="s">
        <v>94</v>
      </c>
      <c r="E73" s="13">
        <v>38</v>
      </c>
      <c r="F73" s="5">
        <v>1</v>
      </c>
      <c r="G73" s="5">
        <v>1</v>
      </c>
      <c r="H73" s="6">
        <f t="shared" si="70"/>
        <v>1</v>
      </c>
      <c r="I73" s="4">
        <f t="shared" si="71"/>
        <v>3004</v>
      </c>
      <c r="J73" s="13">
        <f>ROUND(VLOOKUP(D73,[1]物品容器!$T$3:$U$8,2,FALSE)*M73,0)</f>
        <v>3004</v>
      </c>
      <c r="K73" s="18">
        <f t="shared" si="72"/>
        <v>3004</v>
      </c>
      <c r="L73" s="18">
        <f t="shared" ref="L73:O73" si="82">ROUND($I73*L$2,0)</f>
        <v>1802</v>
      </c>
      <c r="M73" s="19">
        <v>1.00125</v>
      </c>
      <c r="N73" s="18">
        <f t="shared" si="82"/>
        <v>451</v>
      </c>
      <c r="O73" s="18">
        <f t="shared" si="82"/>
        <v>45060</v>
      </c>
      <c r="P73" s="18">
        <f t="shared" si="74"/>
        <v>27.03</v>
      </c>
      <c r="Q73" s="18">
        <f t="shared" si="75"/>
        <v>150</v>
      </c>
      <c r="R73" s="2" t="s">
        <v>238</v>
      </c>
      <c r="S73" s="4">
        <f t="shared" si="76"/>
        <v>160060018</v>
      </c>
      <c r="W73" s="4"/>
      <c r="X73" s="4"/>
      <c r="AD73" s="4" t="s">
        <v>239</v>
      </c>
      <c r="AE73" s="4">
        <v>151000003</v>
      </c>
    </row>
    <row r="74" s="2" customFormat="1" spans="1:32">
      <c r="A74" s="4">
        <v>72</v>
      </c>
      <c r="B74" s="5" t="s">
        <v>240</v>
      </c>
      <c r="C74" s="4" t="s">
        <v>126</v>
      </c>
      <c r="D74" s="26" t="s">
        <v>94</v>
      </c>
      <c r="E74" s="13">
        <v>39</v>
      </c>
      <c r="F74" s="5">
        <v>1</v>
      </c>
      <c r="G74" s="5">
        <v>1</v>
      </c>
      <c r="H74" s="6">
        <f t="shared" si="70"/>
        <v>1</v>
      </c>
      <c r="I74" s="4">
        <f t="shared" si="71"/>
        <v>2980</v>
      </c>
      <c r="J74" s="13">
        <f>ROUND(VLOOKUP(D74,[1]物品容器!$T$3:$U$8,2,FALSE)*M74,0)</f>
        <v>2980</v>
      </c>
      <c r="K74" s="18">
        <f t="shared" si="72"/>
        <v>2980</v>
      </c>
      <c r="L74" s="18">
        <f t="shared" ref="L74:O74" si="83">ROUND($I74*L$2,0)</f>
        <v>1788</v>
      </c>
      <c r="M74" s="19">
        <v>0.99322</v>
      </c>
      <c r="N74" s="18">
        <f t="shared" si="83"/>
        <v>447</v>
      </c>
      <c r="O74" s="18">
        <f t="shared" si="83"/>
        <v>44700</v>
      </c>
      <c r="P74" s="18">
        <f t="shared" si="74"/>
        <v>26.82</v>
      </c>
      <c r="Q74" s="18">
        <f t="shared" si="75"/>
        <v>148</v>
      </c>
      <c r="R74" s="2" t="s">
        <v>241</v>
      </c>
      <c r="S74" s="4">
        <f t="shared" si="76"/>
        <v>160060019</v>
      </c>
      <c r="W74" s="4"/>
      <c r="X74" s="4"/>
      <c r="AD74" s="4" t="s">
        <v>242</v>
      </c>
      <c r="AE74" s="4">
        <v>152000001</v>
      </c>
    </row>
    <row r="75" s="2" customFormat="1" spans="1:32">
      <c r="A75" s="4">
        <v>73</v>
      </c>
      <c r="B75" s="5" t="s">
        <v>243</v>
      </c>
      <c r="C75" s="4" t="s">
        <v>126</v>
      </c>
      <c r="D75" s="26" t="s">
        <v>94</v>
      </c>
      <c r="E75" s="13">
        <v>40</v>
      </c>
      <c r="F75" s="5">
        <v>1</v>
      </c>
      <c r="G75" s="5">
        <v>2</v>
      </c>
      <c r="H75" s="6">
        <f t="shared" si="70"/>
        <v>0.97</v>
      </c>
      <c r="I75" s="4">
        <f t="shared" si="71"/>
        <v>5773</v>
      </c>
      <c r="J75" s="13">
        <f>ROUND(VLOOKUP(D75,[1]物品容器!$T$3:$U$8,2,FALSE)*M75,0)</f>
        <v>2976</v>
      </c>
      <c r="K75" s="18">
        <f t="shared" si="72"/>
        <v>2887</v>
      </c>
      <c r="L75" s="18">
        <f t="shared" ref="L75:O75" si="84">ROUND($I75*L$2,0)</f>
        <v>3464</v>
      </c>
      <c r="M75" s="19">
        <v>0.992</v>
      </c>
      <c r="N75" s="18">
        <f t="shared" si="84"/>
        <v>866</v>
      </c>
      <c r="O75" s="18">
        <f t="shared" si="84"/>
        <v>86595</v>
      </c>
      <c r="P75" s="18">
        <f t="shared" si="74"/>
        <v>51.96</v>
      </c>
      <c r="Q75" s="18">
        <f t="shared" si="75"/>
        <v>288</v>
      </c>
      <c r="R75" s="2" t="s">
        <v>244</v>
      </c>
      <c r="S75" s="4">
        <f t="shared" si="76"/>
        <v>160060020</v>
      </c>
      <c r="W75" s="4"/>
      <c r="X75" s="4"/>
      <c r="AD75" s="4" t="s">
        <v>245</v>
      </c>
      <c r="AE75" s="4">
        <v>152000002</v>
      </c>
    </row>
    <row r="76" s="2" customFormat="1" spans="1:32">
      <c r="A76" s="4">
        <v>74</v>
      </c>
      <c r="B76" s="5" t="s">
        <v>246</v>
      </c>
      <c r="C76" s="4" t="s">
        <v>126</v>
      </c>
      <c r="D76" s="26" t="s">
        <v>94</v>
      </c>
      <c r="E76" s="13">
        <v>41</v>
      </c>
      <c r="F76" s="5">
        <v>1</v>
      </c>
      <c r="G76" s="5">
        <v>1</v>
      </c>
      <c r="H76" s="6">
        <f t="shared" si="70"/>
        <v>1</v>
      </c>
      <c r="I76" s="4">
        <f t="shared" si="71"/>
        <v>3009</v>
      </c>
      <c r="J76" s="13">
        <f>ROUND(VLOOKUP(D76,[1]物品容器!$T$3:$U$8,2,FALSE)*M76,0)</f>
        <v>3009</v>
      </c>
      <c r="K76" s="18">
        <f t="shared" si="72"/>
        <v>3009</v>
      </c>
      <c r="L76" s="18">
        <f t="shared" ref="L76:O76" si="85">ROUND($I76*L$2,0)</f>
        <v>1805</v>
      </c>
      <c r="M76" s="19">
        <v>1.003</v>
      </c>
      <c r="N76" s="18">
        <f t="shared" si="85"/>
        <v>451</v>
      </c>
      <c r="O76" s="18">
        <f t="shared" si="85"/>
        <v>45135</v>
      </c>
      <c r="P76" s="18">
        <f t="shared" si="74"/>
        <v>27.075</v>
      </c>
      <c r="Q76" s="18">
        <f t="shared" si="75"/>
        <v>150</v>
      </c>
      <c r="R76" s="2" t="s">
        <v>247</v>
      </c>
      <c r="S76" s="4">
        <f t="shared" si="76"/>
        <v>160060021</v>
      </c>
      <c r="W76" s="4"/>
      <c r="X76" s="4"/>
      <c r="AD76" s="4" t="s">
        <v>248</v>
      </c>
      <c r="AE76" s="4">
        <v>152000003</v>
      </c>
    </row>
    <row r="77" s="2" customFormat="1" spans="1:32">
      <c r="A77" s="4">
        <v>75</v>
      </c>
      <c r="B77" s="5" t="s">
        <v>249</v>
      </c>
      <c r="C77" s="4" t="s">
        <v>126</v>
      </c>
      <c r="D77" s="26" t="s">
        <v>94</v>
      </c>
      <c r="E77" s="13">
        <v>42</v>
      </c>
      <c r="F77" s="5">
        <v>2</v>
      </c>
      <c r="G77" s="5">
        <v>2</v>
      </c>
      <c r="H77" s="6">
        <f t="shared" si="70"/>
        <v>0.91</v>
      </c>
      <c r="I77" s="4">
        <f t="shared" si="71"/>
        <v>11015</v>
      </c>
      <c r="J77" s="13">
        <f>ROUND(VLOOKUP(D77,[1]物品容器!$T$3:$U$8,2,FALSE)*M77,0)</f>
        <v>3026</v>
      </c>
      <c r="K77" s="18">
        <f t="shared" si="72"/>
        <v>2754</v>
      </c>
      <c r="L77" s="18">
        <f t="shared" ref="L77:O77" si="86">ROUND($I77*L$2,0)</f>
        <v>6609</v>
      </c>
      <c r="M77" s="19">
        <v>1.00875</v>
      </c>
      <c r="N77" s="18">
        <f t="shared" si="86"/>
        <v>1652</v>
      </c>
      <c r="O77" s="18">
        <f t="shared" si="86"/>
        <v>165225</v>
      </c>
      <c r="P77" s="18">
        <f t="shared" si="74"/>
        <v>99.135</v>
      </c>
      <c r="Q77" s="18">
        <f t="shared" si="75"/>
        <v>549</v>
      </c>
      <c r="R77" s="2" t="s">
        <v>250</v>
      </c>
      <c r="S77" s="4">
        <f t="shared" si="76"/>
        <v>160060022</v>
      </c>
      <c r="W77" s="4"/>
      <c r="X77" s="4"/>
      <c r="AD77" s="4" t="s">
        <v>251</v>
      </c>
      <c r="AE77" s="4">
        <v>153010001</v>
      </c>
    </row>
    <row r="78" s="2" customFormat="1" spans="1:32">
      <c r="A78" s="4">
        <v>76</v>
      </c>
      <c r="B78" s="5" t="s">
        <v>252</v>
      </c>
      <c r="C78" s="4" t="s">
        <v>126</v>
      </c>
      <c r="D78" s="26" t="s">
        <v>94</v>
      </c>
      <c r="E78" s="13">
        <v>43</v>
      </c>
      <c r="F78" s="5">
        <v>2</v>
      </c>
      <c r="G78" s="5">
        <v>2</v>
      </c>
      <c r="H78" s="6">
        <f t="shared" si="70"/>
        <v>0.91</v>
      </c>
      <c r="I78" s="4">
        <f t="shared" si="71"/>
        <v>10949</v>
      </c>
      <c r="J78" s="13">
        <f>ROUND(VLOOKUP(D78,[1]物品容器!$T$3:$U$8,2,FALSE)*M78,0)</f>
        <v>3008</v>
      </c>
      <c r="K78" s="18">
        <f t="shared" si="72"/>
        <v>2737</v>
      </c>
      <c r="L78" s="18">
        <f t="shared" ref="L78:O78" si="87">ROUND($I78*L$2,0)</f>
        <v>6569</v>
      </c>
      <c r="M78" s="19">
        <v>1.00277</v>
      </c>
      <c r="N78" s="18">
        <f t="shared" si="87"/>
        <v>1642</v>
      </c>
      <c r="O78" s="18">
        <f t="shared" si="87"/>
        <v>164235</v>
      </c>
      <c r="P78" s="18">
        <f t="shared" si="74"/>
        <v>98.535</v>
      </c>
      <c r="Q78" s="18">
        <f t="shared" si="75"/>
        <v>546</v>
      </c>
      <c r="R78" s="2" t="s">
        <v>253</v>
      </c>
      <c r="S78" s="4">
        <f t="shared" si="76"/>
        <v>160060023</v>
      </c>
      <c r="W78" s="4"/>
      <c r="X78" s="4"/>
      <c r="AD78" s="4" t="s">
        <v>254</v>
      </c>
      <c r="AE78" s="4">
        <v>153020001</v>
      </c>
    </row>
    <row r="79" s="2" customFormat="1" spans="1:32">
      <c r="A79" s="4">
        <v>77</v>
      </c>
      <c r="B79" s="5" t="s">
        <v>255</v>
      </c>
      <c r="C79" s="4" t="s">
        <v>126</v>
      </c>
      <c r="D79" s="26" t="s">
        <v>94</v>
      </c>
      <c r="E79" s="13">
        <v>44</v>
      </c>
      <c r="F79" s="5">
        <v>1</v>
      </c>
      <c r="G79" s="5">
        <v>1</v>
      </c>
      <c r="H79" s="6">
        <f t="shared" si="70"/>
        <v>1</v>
      </c>
      <c r="I79" s="4">
        <f t="shared" si="71"/>
        <v>3002</v>
      </c>
      <c r="J79" s="13">
        <f>ROUND(VLOOKUP(D79,[1]物品容器!$T$3:$U$8,2,FALSE)*M79,0)</f>
        <v>3002</v>
      </c>
      <c r="K79" s="18">
        <f t="shared" si="72"/>
        <v>3002</v>
      </c>
      <c r="L79" s="18">
        <f t="shared" ref="L79:O79" si="88">ROUND($I79*L$2,0)</f>
        <v>1801</v>
      </c>
      <c r="M79" s="19">
        <v>1.00076</v>
      </c>
      <c r="N79" s="18">
        <f t="shared" si="88"/>
        <v>450</v>
      </c>
      <c r="O79" s="18">
        <f t="shared" si="88"/>
        <v>45030</v>
      </c>
      <c r="P79" s="18">
        <f t="shared" si="74"/>
        <v>27.015</v>
      </c>
      <c r="Q79" s="18">
        <f t="shared" si="75"/>
        <v>150</v>
      </c>
      <c r="R79" s="2" t="s">
        <v>256</v>
      </c>
      <c r="S79" s="4">
        <f t="shared" si="76"/>
        <v>160060024</v>
      </c>
      <c r="W79" s="4"/>
      <c r="X79" s="4"/>
      <c r="AD79" s="4" t="s">
        <v>257</v>
      </c>
      <c r="AE79" s="4">
        <v>153030001</v>
      </c>
    </row>
    <row r="80" s="2" customFormat="1" spans="1:32">
      <c r="A80" s="4">
        <v>78</v>
      </c>
      <c r="B80" s="5" t="s">
        <v>258</v>
      </c>
      <c r="C80" s="4" t="s">
        <v>126</v>
      </c>
      <c r="D80" s="26" t="s">
        <v>94</v>
      </c>
      <c r="E80" s="13">
        <v>45</v>
      </c>
      <c r="F80" s="5">
        <v>1</v>
      </c>
      <c r="G80" s="5">
        <v>1</v>
      </c>
      <c r="H80" s="6">
        <f t="shared" si="70"/>
        <v>1</v>
      </c>
      <c r="I80" s="4">
        <f t="shared" si="71"/>
        <v>2970</v>
      </c>
      <c r="J80" s="13">
        <f>ROUND(VLOOKUP(D80,[1]物品容器!$T$3:$U$8,2,FALSE)*M80,0)</f>
        <v>2970</v>
      </c>
      <c r="K80" s="18">
        <f t="shared" si="72"/>
        <v>2970</v>
      </c>
      <c r="L80" s="18">
        <f t="shared" ref="L80:O80" si="89">ROUND($I80*L$2,0)</f>
        <v>1782</v>
      </c>
      <c r="M80" s="19">
        <v>0.99012</v>
      </c>
      <c r="N80" s="18">
        <f t="shared" si="89"/>
        <v>446</v>
      </c>
      <c r="O80" s="18">
        <f t="shared" si="89"/>
        <v>44550</v>
      </c>
      <c r="P80" s="18">
        <f t="shared" si="74"/>
        <v>26.73</v>
      </c>
      <c r="Q80" s="18">
        <f t="shared" si="75"/>
        <v>148</v>
      </c>
      <c r="R80" s="2" t="s">
        <v>259</v>
      </c>
      <c r="S80" s="4">
        <f t="shared" si="76"/>
        <v>160060025</v>
      </c>
      <c r="W80" s="4"/>
      <c r="X80" s="4"/>
      <c r="AD80" s="4" t="s">
        <v>260</v>
      </c>
      <c r="AE80" s="4">
        <v>160010001</v>
      </c>
    </row>
    <row r="81" s="2" customFormat="1" spans="1:31">
      <c r="A81" s="4">
        <v>79</v>
      </c>
      <c r="B81" s="5" t="s">
        <v>261</v>
      </c>
      <c r="C81" s="4" t="s">
        <v>126</v>
      </c>
      <c r="D81" s="27" t="s">
        <v>116</v>
      </c>
      <c r="E81" s="13">
        <v>46</v>
      </c>
      <c r="F81" s="23">
        <v>2</v>
      </c>
      <c r="G81" s="23">
        <v>3</v>
      </c>
      <c r="H81" s="6">
        <f t="shared" si="70"/>
        <v>0.88</v>
      </c>
      <c r="I81" s="4">
        <f t="shared" si="71"/>
        <v>5232</v>
      </c>
      <c r="J81" s="13">
        <f>ROUND(VLOOKUP(D81,[1]物品容器!$T$3:$U$8,2,FALSE)*M81,0)</f>
        <v>991</v>
      </c>
      <c r="K81" s="18">
        <f t="shared" si="72"/>
        <v>872</v>
      </c>
      <c r="L81" s="18">
        <f t="shared" ref="L81:O81" si="90">ROUND($I81*L$2,0)</f>
        <v>3139</v>
      </c>
      <c r="M81" s="19">
        <v>0.99096</v>
      </c>
      <c r="N81" s="18">
        <f t="shared" si="90"/>
        <v>785</v>
      </c>
      <c r="O81" s="18">
        <f t="shared" si="90"/>
        <v>78480</v>
      </c>
      <c r="P81" s="18">
        <f t="shared" si="74"/>
        <v>47.085</v>
      </c>
      <c r="Q81" s="18">
        <f t="shared" si="75"/>
        <v>261</v>
      </c>
      <c r="R81" s="2" t="s">
        <v>262</v>
      </c>
      <c r="S81" s="4">
        <f t="shared" si="76"/>
        <v>160060001</v>
      </c>
      <c r="W81" s="4"/>
      <c r="X81" s="4"/>
      <c r="AD81" s="4" t="s">
        <v>263</v>
      </c>
      <c r="AE81" s="4">
        <v>160010002</v>
      </c>
    </row>
    <row r="82" s="2" customFormat="1" spans="1:31">
      <c r="A82" s="4">
        <v>80</v>
      </c>
      <c r="B82" s="5" t="s">
        <v>264</v>
      </c>
      <c r="C82" s="4" t="s">
        <v>126</v>
      </c>
      <c r="D82" s="27" t="s">
        <v>116</v>
      </c>
      <c r="E82" s="13">
        <v>47</v>
      </c>
      <c r="F82" s="5">
        <v>1</v>
      </c>
      <c r="G82" s="5">
        <v>1</v>
      </c>
      <c r="H82" s="6">
        <f t="shared" si="70"/>
        <v>1</v>
      </c>
      <c r="I82" s="4">
        <f t="shared" si="71"/>
        <v>1008</v>
      </c>
      <c r="J82" s="13">
        <f>ROUND(VLOOKUP(D82,[1]物品容器!$T$3:$U$8,2,FALSE)*M82,0)</f>
        <v>1008</v>
      </c>
      <c r="K82" s="18">
        <f t="shared" si="72"/>
        <v>1008</v>
      </c>
      <c r="L82" s="18">
        <f t="shared" ref="L82:O82" si="91">ROUND($I82*L$2,0)</f>
        <v>605</v>
      </c>
      <c r="M82" s="19">
        <v>1.00786</v>
      </c>
      <c r="N82" s="18">
        <f t="shared" si="91"/>
        <v>151</v>
      </c>
      <c r="O82" s="18">
        <f t="shared" si="91"/>
        <v>15120</v>
      </c>
      <c r="P82" s="18">
        <f t="shared" si="74"/>
        <v>9.075</v>
      </c>
      <c r="Q82" s="18">
        <f t="shared" si="75"/>
        <v>50</v>
      </c>
      <c r="R82" s="2" t="s">
        <v>265</v>
      </c>
      <c r="S82" s="4">
        <f t="shared" si="76"/>
        <v>160060007</v>
      </c>
      <c r="W82" s="4"/>
      <c r="X82" s="4"/>
      <c r="AD82" s="4" t="s">
        <v>266</v>
      </c>
      <c r="AE82" s="4">
        <v>160010003</v>
      </c>
    </row>
    <row r="83" s="2" customFormat="1" spans="1:31">
      <c r="A83" s="4">
        <v>81</v>
      </c>
      <c r="B83" s="5" t="s">
        <v>267</v>
      </c>
      <c r="C83" s="4" t="s">
        <v>126</v>
      </c>
      <c r="D83" s="27" t="s">
        <v>116</v>
      </c>
      <c r="E83" s="13">
        <v>48</v>
      </c>
      <c r="F83" s="23">
        <v>3</v>
      </c>
      <c r="G83" s="23">
        <v>3</v>
      </c>
      <c r="H83" s="6">
        <f t="shared" si="70"/>
        <v>0.8</v>
      </c>
      <c r="I83" s="4">
        <f t="shared" si="71"/>
        <v>7193</v>
      </c>
      <c r="J83" s="13">
        <f>ROUND(VLOOKUP(D83,[1]物品容器!$T$3:$U$8,2,FALSE)*M83,0)</f>
        <v>999</v>
      </c>
      <c r="K83" s="18">
        <f t="shared" si="72"/>
        <v>799</v>
      </c>
      <c r="L83" s="18">
        <f t="shared" ref="L83:O83" si="92">ROUND($I83*L$2,0)</f>
        <v>4316</v>
      </c>
      <c r="M83" s="19">
        <v>0.99879</v>
      </c>
      <c r="N83" s="18">
        <f t="shared" si="92"/>
        <v>1079</v>
      </c>
      <c r="O83" s="18">
        <f t="shared" si="92"/>
        <v>107895</v>
      </c>
      <c r="P83" s="18">
        <f t="shared" si="74"/>
        <v>64.74</v>
      </c>
      <c r="Q83" s="18">
        <f t="shared" si="75"/>
        <v>358</v>
      </c>
      <c r="R83" s="2" t="s">
        <v>268</v>
      </c>
      <c r="S83" s="4">
        <f t="shared" si="76"/>
        <v>160060002</v>
      </c>
      <c r="W83" s="4"/>
      <c r="X83" s="4"/>
      <c r="AD83" s="4" t="s">
        <v>269</v>
      </c>
      <c r="AE83" s="4">
        <v>160010004</v>
      </c>
    </row>
    <row r="84" s="2" customFormat="1" spans="1:31">
      <c r="A84" s="4">
        <v>82</v>
      </c>
      <c r="B84" s="5" t="s">
        <v>270</v>
      </c>
      <c r="C84" s="4" t="s">
        <v>126</v>
      </c>
      <c r="D84" s="27" t="s">
        <v>116</v>
      </c>
      <c r="E84" s="13">
        <v>49</v>
      </c>
      <c r="F84" s="5">
        <v>1</v>
      </c>
      <c r="G84" s="5">
        <v>1</v>
      </c>
      <c r="H84" s="6">
        <f t="shared" si="70"/>
        <v>1</v>
      </c>
      <c r="I84" s="4">
        <f t="shared" si="71"/>
        <v>1004</v>
      </c>
      <c r="J84" s="13">
        <f>ROUND(VLOOKUP(D84,[1]物品容器!$T$3:$U$8,2,FALSE)*M84,0)</f>
        <v>1004</v>
      </c>
      <c r="K84" s="18">
        <f t="shared" si="72"/>
        <v>1004</v>
      </c>
      <c r="L84" s="18">
        <f t="shared" ref="L84:O84" si="93">ROUND($I84*L$2,0)</f>
        <v>602</v>
      </c>
      <c r="M84" s="19">
        <v>1.00432</v>
      </c>
      <c r="N84" s="18">
        <f t="shared" si="93"/>
        <v>151</v>
      </c>
      <c r="O84" s="18">
        <f t="shared" si="93"/>
        <v>15060</v>
      </c>
      <c r="P84" s="18">
        <f t="shared" si="74"/>
        <v>9.03</v>
      </c>
      <c r="Q84" s="18">
        <f t="shared" si="75"/>
        <v>50</v>
      </c>
      <c r="R84" s="2" t="s">
        <v>271</v>
      </c>
      <c r="S84" s="4">
        <f t="shared" si="76"/>
        <v>160060008</v>
      </c>
      <c r="W84" s="4"/>
      <c r="X84" s="4"/>
      <c r="AD84" s="4" t="s">
        <v>272</v>
      </c>
      <c r="AE84" s="4">
        <v>160010005</v>
      </c>
    </row>
    <row r="85" s="2" customFormat="1" spans="1:31">
      <c r="A85" s="4">
        <v>83</v>
      </c>
      <c r="B85" s="5" t="s">
        <v>273</v>
      </c>
      <c r="C85" s="4" t="s">
        <v>126</v>
      </c>
      <c r="D85" s="27" t="s">
        <v>116</v>
      </c>
      <c r="E85" s="13">
        <v>50</v>
      </c>
      <c r="F85" s="23">
        <v>1</v>
      </c>
      <c r="G85" s="23">
        <v>1</v>
      </c>
      <c r="H85" s="6">
        <f t="shared" si="70"/>
        <v>1</v>
      </c>
      <c r="I85" s="4">
        <f t="shared" si="71"/>
        <v>1000</v>
      </c>
      <c r="J85" s="13">
        <f>ROUND(VLOOKUP(D85,[1]物品容器!$T$3:$U$8,2,FALSE)*M85,0)</f>
        <v>1000</v>
      </c>
      <c r="K85" s="18">
        <f t="shared" si="72"/>
        <v>1000</v>
      </c>
      <c r="L85" s="18">
        <f t="shared" ref="L85:O85" si="94">ROUND($I85*L$2,0)</f>
        <v>600</v>
      </c>
      <c r="M85" s="19">
        <v>0.99964</v>
      </c>
      <c r="N85" s="18">
        <f t="shared" si="94"/>
        <v>150</v>
      </c>
      <c r="O85" s="18">
        <f t="shared" si="94"/>
        <v>15000</v>
      </c>
      <c r="P85" s="18">
        <f t="shared" si="74"/>
        <v>9</v>
      </c>
      <c r="Q85" s="18">
        <f t="shared" si="75"/>
        <v>50</v>
      </c>
      <c r="R85" s="2" t="s">
        <v>274</v>
      </c>
      <c r="S85" s="4">
        <f t="shared" si="76"/>
        <v>160060003</v>
      </c>
      <c r="W85" s="4"/>
      <c r="X85" s="4"/>
      <c r="AD85" s="4" t="s">
        <v>275</v>
      </c>
      <c r="AE85" s="4">
        <v>160010006</v>
      </c>
    </row>
    <row r="86" s="2" customFormat="1" spans="1:31">
      <c r="A86" s="4">
        <v>84</v>
      </c>
      <c r="B86" s="5" t="s">
        <v>276</v>
      </c>
      <c r="C86" s="4" t="s">
        <v>126</v>
      </c>
      <c r="D86" s="27" t="s">
        <v>116</v>
      </c>
      <c r="E86" s="13">
        <v>51</v>
      </c>
      <c r="F86" s="23">
        <v>1</v>
      </c>
      <c r="G86" s="23">
        <v>1</v>
      </c>
      <c r="H86" s="6">
        <f t="shared" si="70"/>
        <v>1</v>
      </c>
      <c r="I86" s="4">
        <f t="shared" si="71"/>
        <v>1007</v>
      </c>
      <c r="J86" s="13">
        <f>ROUND(VLOOKUP(D86,[1]物品容器!$T$3:$U$8,2,FALSE)*M86,0)</f>
        <v>1007</v>
      </c>
      <c r="K86" s="18">
        <f t="shared" si="72"/>
        <v>1007</v>
      </c>
      <c r="L86" s="18">
        <f t="shared" ref="L86:O86" si="95">ROUND($I86*L$2,0)</f>
        <v>604</v>
      </c>
      <c r="M86" s="19">
        <v>1.0072</v>
      </c>
      <c r="N86" s="18">
        <f t="shared" si="95"/>
        <v>151</v>
      </c>
      <c r="O86" s="18">
        <f t="shared" si="95"/>
        <v>15105</v>
      </c>
      <c r="P86" s="18">
        <f t="shared" si="74"/>
        <v>9.06</v>
      </c>
      <c r="Q86" s="18">
        <f t="shared" si="75"/>
        <v>50</v>
      </c>
      <c r="R86" s="2" t="s">
        <v>277</v>
      </c>
      <c r="S86" s="4">
        <f t="shared" si="76"/>
        <v>160060004</v>
      </c>
      <c r="W86" s="4"/>
      <c r="X86" s="4"/>
      <c r="AD86" s="4" t="s">
        <v>278</v>
      </c>
      <c r="AE86" s="4">
        <v>160010007</v>
      </c>
    </row>
    <row r="87" s="2" customFormat="1" spans="1:31">
      <c r="A87" s="4">
        <v>85</v>
      </c>
      <c r="B87" s="5" t="s">
        <v>279</v>
      </c>
      <c r="C87" s="4" t="s">
        <v>126</v>
      </c>
      <c r="D87" s="27" t="s">
        <v>116</v>
      </c>
      <c r="E87" s="13">
        <v>52</v>
      </c>
      <c r="F87" s="23">
        <v>2</v>
      </c>
      <c r="G87" s="5">
        <v>1</v>
      </c>
      <c r="H87" s="6">
        <f t="shared" si="70"/>
        <v>0.97</v>
      </c>
      <c r="I87" s="4">
        <f t="shared" si="71"/>
        <v>1938</v>
      </c>
      <c r="J87" s="13">
        <f>ROUND(VLOOKUP(D87,[1]物品容器!$T$3:$U$8,2,FALSE)*M87,0)</f>
        <v>999</v>
      </c>
      <c r="K87" s="18">
        <f t="shared" si="72"/>
        <v>969</v>
      </c>
      <c r="L87" s="18">
        <f t="shared" ref="L87:O87" si="96">ROUND($I87*L$2,0)</f>
        <v>1163</v>
      </c>
      <c r="M87" s="19">
        <v>0.99922</v>
      </c>
      <c r="N87" s="18">
        <f t="shared" si="96"/>
        <v>291</v>
      </c>
      <c r="O87" s="18">
        <f t="shared" si="96"/>
        <v>29070</v>
      </c>
      <c r="P87" s="18">
        <f t="shared" si="74"/>
        <v>17.445</v>
      </c>
      <c r="Q87" s="18">
        <f t="shared" si="75"/>
        <v>97</v>
      </c>
      <c r="R87" s="2" t="s">
        <v>280</v>
      </c>
      <c r="S87" s="4">
        <f t="shared" si="76"/>
        <v>160060005</v>
      </c>
      <c r="W87" s="4"/>
      <c r="X87" s="4"/>
      <c r="AD87" s="4" t="s">
        <v>281</v>
      </c>
      <c r="AE87" s="4">
        <v>160010008</v>
      </c>
    </row>
    <row r="88" s="2" customFormat="1" spans="1:31">
      <c r="A88" s="4">
        <v>86</v>
      </c>
      <c r="B88" s="5" t="s">
        <v>282</v>
      </c>
      <c r="C88" s="13" t="s">
        <v>283</v>
      </c>
      <c r="D88" s="17" t="s">
        <v>26</v>
      </c>
      <c r="E88" s="13">
        <v>1</v>
      </c>
      <c r="F88" s="5">
        <v>3</v>
      </c>
      <c r="G88" s="5">
        <v>4</v>
      </c>
      <c r="H88" s="6">
        <f t="shared" si="70"/>
        <v>0.7</v>
      </c>
      <c r="I88" s="4">
        <f t="shared" si="71"/>
        <v>2509366</v>
      </c>
      <c r="J88" s="13">
        <f>ROUND(VLOOKUP(D88,[1]物品容器!$T$3:$U$8,2,FALSE)*M88,0)</f>
        <v>298734</v>
      </c>
      <c r="K88" s="18">
        <f t="shared" si="72"/>
        <v>209114</v>
      </c>
      <c r="L88" s="18">
        <f t="shared" ref="L88:O88" si="97">ROUND($I88*L$2,0)</f>
        <v>1505620</v>
      </c>
      <c r="M88" s="19">
        <v>0.99578</v>
      </c>
      <c r="N88" s="18">
        <f t="shared" si="97"/>
        <v>376405</v>
      </c>
      <c r="O88" s="18">
        <f t="shared" si="97"/>
        <v>37640490</v>
      </c>
      <c r="P88" s="18">
        <f t="shared" si="74"/>
        <v>22584.3</v>
      </c>
      <c r="Q88" s="18">
        <f t="shared" si="75"/>
        <v>125039</v>
      </c>
      <c r="R88" s="16" t="s">
        <v>284</v>
      </c>
      <c r="S88" s="4">
        <f t="shared" si="76"/>
        <v>160040079</v>
      </c>
      <c r="W88" s="4"/>
      <c r="X88" s="4"/>
      <c r="AD88" s="4" t="s">
        <v>285</v>
      </c>
      <c r="AE88" s="4">
        <v>160010009</v>
      </c>
    </row>
    <row r="89" s="2" customFormat="1" spans="1:31">
      <c r="A89" s="4">
        <v>87</v>
      </c>
      <c r="B89" s="5" t="s">
        <v>286</v>
      </c>
      <c r="C89" s="13" t="s">
        <v>283</v>
      </c>
      <c r="D89" s="17" t="s">
        <v>26</v>
      </c>
      <c r="E89" s="13">
        <v>2</v>
      </c>
      <c r="F89" s="5">
        <v>3</v>
      </c>
      <c r="G89" s="5">
        <v>2</v>
      </c>
      <c r="H89" s="6">
        <f t="shared" si="70"/>
        <v>0.88</v>
      </c>
      <c r="I89" s="4">
        <f t="shared" si="71"/>
        <v>1575858</v>
      </c>
      <c r="J89" s="13">
        <f>ROUND(VLOOKUP(D89,[1]物品容器!$T$3:$U$8,2,FALSE)*M89,0)</f>
        <v>298458</v>
      </c>
      <c r="K89" s="18">
        <f t="shared" si="72"/>
        <v>262643</v>
      </c>
      <c r="L89" s="18">
        <f t="shared" ref="L89:O89" si="98">ROUND($I89*L$2,0)</f>
        <v>945515</v>
      </c>
      <c r="M89" s="19">
        <v>0.99486</v>
      </c>
      <c r="N89" s="18">
        <f t="shared" si="98"/>
        <v>236379</v>
      </c>
      <c r="O89" s="18">
        <f t="shared" si="98"/>
        <v>23637870</v>
      </c>
      <c r="P89" s="18">
        <f t="shared" si="74"/>
        <v>14182.725</v>
      </c>
      <c r="Q89" s="18">
        <f t="shared" si="75"/>
        <v>78523</v>
      </c>
      <c r="R89" s="16" t="s">
        <v>287</v>
      </c>
      <c r="S89" s="4">
        <f t="shared" si="76"/>
        <v>160040080</v>
      </c>
      <c r="W89" s="4"/>
      <c r="X89" s="4"/>
      <c r="AD89" s="4" t="s">
        <v>288</v>
      </c>
      <c r="AE89" s="4">
        <v>160010010</v>
      </c>
    </row>
    <row r="90" s="2" customFormat="1" spans="1:31">
      <c r="A90" s="4">
        <v>88</v>
      </c>
      <c r="B90" s="5" t="s">
        <v>289</v>
      </c>
      <c r="C90" s="13" t="s">
        <v>283</v>
      </c>
      <c r="D90" s="17" t="s">
        <v>26</v>
      </c>
      <c r="E90" s="13">
        <v>3</v>
      </c>
      <c r="F90" s="5">
        <v>3</v>
      </c>
      <c r="G90" s="5">
        <v>3</v>
      </c>
      <c r="H90" s="6">
        <f t="shared" si="70"/>
        <v>0.8</v>
      </c>
      <c r="I90" s="4">
        <f t="shared" si="71"/>
        <v>2167517</v>
      </c>
      <c r="J90" s="13">
        <f>ROUND(VLOOKUP(D90,[1]物品容器!$T$3:$U$8,2,FALSE)*M90,0)</f>
        <v>301044</v>
      </c>
      <c r="K90" s="18">
        <f t="shared" si="72"/>
        <v>240835</v>
      </c>
      <c r="L90" s="18">
        <f t="shared" ref="L90:O90" si="99">ROUND($I90*L$2,0)</f>
        <v>1300510</v>
      </c>
      <c r="M90" s="19">
        <v>1.00348</v>
      </c>
      <c r="N90" s="18">
        <f t="shared" si="99"/>
        <v>325128</v>
      </c>
      <c r="O90" s="18">
        <f t="shared" si="99"/>
        <v>32512755</v>
      </c>
      <c r="P90" s="18">
        <f t="shared" si="74"/>
        <v>19507.65</v>
      </c>
      <c r="Q90" s="18">
        <f t="shared" si="75"/>
        <v>108005</v>
      </c>
      <c r="R90" s="16" t="s">
        <v>290</v>
      </c>
      <c r="S90" s="4">
        <f t="shared" si="76"/>
        <v>160040081</v>
      </c>
      <c r="W90" s="4"/>
      <c r="X90" s="4"/>
      <c r="AD90" s="4" t="s">
        <v>291</v>
      </c>
      <c r="AE90" s="4">
        <v>160010011</v>
      </c>
    </row>
    <row r="91" s="2" customFormat="1" spans="1:31">
      <c r="A91" s="4">
        <v>89</v>
      </c>
      <c r="B91" s="5" t="s">
        <v>292</v>
      </c>
      <c r="C91" s="13" t="s">
        <v>283</v>
      </c>
      <c r="D91" s="17" t="s">
        <v>26</v>
      </c>
      <c r="E91" s="13">
        <v>4</v>
      </c>
      <c r="F91" s="5">
        <v>1</v>
      </c>
      <c r="G91" s="5">
        <v>1</v>
      </c>
      <c r="H91" s="6">
        <f t="shared" si="70"/>
        <v>1</v>
      </c>
      <c r="I91" s="4">
        <f t="shared" si="71"/>
        <v>298287</v>
      </c>
      <c r="J91" s="13">
        <f>ROUND(VLOOKUP(D91,[1]物品容器!$T$3:$U$8,2,FALSE)*M91,0)</f>
        <v>298287</v>
      </c>
      <c r="K91" s="18">
        <f t="shared" si="72"/>
        <v>298287</v>
      </c>
      <c r="L91" s="18">
        <f t="shared" ref="L91:O91" si="100">ROUND($I91*L$2,0)</f>
        <v>178972</v>
      </c>
      <c r="M91" s="19">
        <v>0.99429</v>
      </c>
      <c r="N91" s="18">
        <f t="shared" si="100"/>
        <v>44743</v>
      </c>
      <c r="O91" s="18">
        <f t="shared" si="100"/>
        <v>4474305</v>
      </c>
      <c r="P91" s="18">
        <f t="shared" si="74"/>
        <v>2684.58</v>
      </c>
      <c r="Q91" s="18">
        <f t="shared" si="75"/>
        <v>14863</v>
      </c>
      <c r="R91" s="16" t="s">
        <v>293</v>
      </c>
      <c r="S91" s="4">
        <f t="shared" si="76"/>
        <v>160040082</v>
      </c>
      <c r="W91" s="4"/>
      <c r="X91" s="4"/>
      <c r="AD91" s="4" t="s">
        <v>294</v>
      </c>
      <c r="AE91" s="4">
        <v>160010012</v>
      </c>
    </row>
    <row r="92" s="2" customFormat="1" spans="1:31">
      <c r="A92" s="4">
        <v>90</v>
      </c>
      <c r="B92" s="5" t="s">
        <v>295</v>
      </c>
      <c r="C92" s="13" t="s">
        <v>283</v>
      </c>
      <c r="D92" s="22" t="s">
        <v>41</v>
      </c>
      <c r="E92" s="13">
        <v>5</v>
      </c>
      <c r="F92" s="5">
        <v>2</v>
      </c>
      <c r="G92" s="5">
        <v>2</v>
      </c>
      <c r="H92" s="6">
        <f t="shared" si="70"/>
        <v>0.91</v>
      </c>
      <c r="I92" s="4">
        <f t="shared" si="71"/>
        <v>362901</v>
      </c>
      <c r="J92" s="13">
        <f>ROUND(VLOOKUP(D92,[1]物品容器!$T$3:$U$8,2,FALSE)*M92,0)</f>
        <v>99698</v>
      </c>
      <c r="K92" s="18">
        <f t="shared" si="72"/>
        <v>90725</v>
      </c>
      <c r="L92" s="18">
        <f t="shared" ref="L92:O92" si="101">ROUND($I92*L$2,0)</f>
        <v>217741</v>
      </c>
      <c r="M92" s="19">
        <v>0.99698</v>
      </c>
      <c r="N92" s="18">
        <f t="shared" si="101"/>
        <v>54435</v>
      </c>
      <c r="O92" s="18">
        <f t="shared" si="101"/>
        <v>5443515</v>
      </c>
      <c r="P92" s="18">
        <f t="shared" si="74"/>
        <v>3266.115</v>
      </c>
      <c r="Q92" s="18">
        <f t="shared" si="75"/>
        <v>18083</v>
      </c>
      <c r="R92" s="16" t="s">
        <v>296</v>
      </c>
      <c r="S92" s="4">
        <f t="shared" si="76"/>
        <v>160040070</v>
      </c>
      <c r="W92" s="4"/>
      <c r="X92" s="4"/>
      <c r="AD92" s="4" t="s">
        <v>297</v>
      </c>
      <c r="AE92" s="4">
        <v>160010013</v>
      </c>
    </row>
    <row r="93" s="2" customFormat="1" spans="1:31">
      <c r="A93" s="4">
        <v>91</v>
      </c>
      <c r="B93" s="5" t="s">
        <v>298</v>
      </c>
      <c r="C93" s="13" t="s">
        <v>283</v>
      </c>
      <c r="D93" s="22" t="s">
        <v>41</v>
      </c>
      <c r="E93" s="13">
        <v>6</v>
      </c>
      <c r="F93" s="5">
        <v>2</v>
      </c>
      <c r="G93" s="5">
        <v>2</v>
      </c>
      <c r="H93" s="6">
        <f t="shared" si="70"/>
        <v>0.91</v>
      </c>
      <c r="I93" s="4">
        <f t="shared" si="71"/>
        <v>364914</v>
      </c>
      <c r="J93" s="13">
        <f>ROUND(VLOOKUP(D93,[1]物品容器!$T$3:$U$8,2,FALSE)*M93,0)</f>
        <v>100251</v>
      </c>
      <c r="K93" s="18">
        <f t="shared" si="72"/>
        <v>91228</v>
      </c>
      <c r="L93" s="18">
        <f t="shared" ref="L93:O93" si="102">ROUND($I93*L$2,0)</f>
        <v>218948</v>
      </c>
      <c r="M93" s="19">
        <v>1.00251</v>
      </c>
      <c r="N93" s="18">
        <f t="shared" si="102"/>
        <v>54737</v>
      </c>
      <c r="O93" s="18">
        <f t="shared" si="102"/>
        <v>5473710</v>
      </c>
      <c r="P93" s="18">
        <f t="shared" si="74"/>
        <v>3284.22</v>
      </c>
      <c r="Q93" s="18">
        <f t="shared" si="75"/>
        <v>18183</v>
      </c>
      <c r="R93" s="16" t="s">
        <v>299</v>
      </c>
      <c r="S93" s="4">
        <f t="shared" si="76"/>
        <v>160040071</v>
      </c>
      <c r="W93" s="4"/>
      <c r="X93" s="4"/>
      <c r="AD93" s="4" t="s">
        <v>300</v>
      </c>
      <c r="AE93" s="4">
        <v>160010014</v>
      </c>
    </row>
    <row r="94" s="2" customFormat="1" spans="1:31">
      <c r="A94" s="4">
        <v>92</v>
      </c>
      <c r="B94" s="5" t="s">
        <v>301</v>
      </c>
      <c r="C94" s="13" t="s">
        <v>283</v>
      </c>
      <c r="D94" s="22" t="s">
        <v>41</v>
      </c>
      <c r="E94" s="13">
        <v>7</v>
      </c>
      <c r="F94" s="5">
        <v>1</v>
      </c>
      <c r="G94" s="5">
        <v>1</v>
      </c>
      <c r="H94" s="6">
        <f t="shared" si="70"/>
        <v>1</v>
      </c>
      <c r="I94" s="4">
        <f t="shared" si="71"/>
        <v>100678</v>
      </c>
      <c r="J94" s="13">
        <f>ROUND(VLOOKUP(D94,[1]物品容器!$T$3:$U$8,2,FALSE)*M94,0)</f>
        <v>100678</v>
      </c>
      <c r="K94" s="18">
        <f t="shared" si="72"/>
        <v>100678</v>
      </c>
      <c r="L94" s="18">
        <f t="shared" ref="L94:O94" si="103">ROUND($I94*L$2,0)</f>
        <v>60407</v>
      </c>
      <c r="M94" s="19">
        <v>1.00678</v>
      </c>
      <c r="N94" s="18">
        <f t="shared" si="103"/>
        <v>15102</v>
      </c>
      <c r="O94" s="18">
        <f t="shared" si="103"/>
        <v>1510170</v>
      </c>
      <c r="P94" s="18">
        <f t="shared" si="74"/>
        <v>906.105</v>
      </c>
      <c r="Q94" s="18">
        <f t="shared" si="75"/>
        <v>5017</v>
      </c>
      <c r="R94" s="16" t="s">
        <v>302</v>
      </c>
      <c r="S94" s="4">
        <f t="shared" si="76"/>
        <v>160040072</v>
      </c>
      <c r="W94" s="4"/>
      <c r="X94" s="4"/>
      <c r="AD94" s="4" t="s">
        <v>303</v>
      </c>
      <c r="AE94" s="4">
        <v>160010015</v>
      </c>
    </row>
    <row r="95" s="2" customFormat="1" spans="1:31">
      <c r="A95" s="4">
        <v>93</v>
      </c>
      <c r="B95" s="5" t="s">
        <v>304</v>
      </c>
      <c r="C95" s="13" t="s">
        <v>283</v>
      </c>
      <c r="D95" s="22" t="s">
        <v>41</v>
      </c>
      <c r="E95" s="13">
        <v>8</v>
      </c>
      <c r="F95" s="5">
        <v>2</v>
      </c>
      <c r="G95" s="5">
        <v>1</v>
      </c>
      <c r="H95" s="6">
        <f t="shared" si="70"/>
        <v>0.97</v>
      </c>
      <c r="I95" s="4">
        <f t="shared" si="71"/>
        <v>193911</v>
      </c>
      <c r="J95" s="13">
        <f>ROUND(VLOOKUP(D95,[1]物品容器!$T$3:$U$8,2,FALSE)*M95,0)</f>
        <v>99954</v>
      </c>
      <c r="K95" s="18">
        <f t="shared" si="72"/>
        <v>96955</v>
      </c>
      <c r="L95" s="18">
        <f t="shared" ref="L95:O95" si="104">ROUND($I95*L$2,0)</f>
        <v>116347</v>
      </c>
      <c r="M95" s="19">
        <v>0.99954</v>
      </c>
      <c r="N95" s="18">
        <f t="shared" si="104"/>
        <v>29087</v>
      </c>
      <c r="O95" s="18">
        <f t="shared" si="104"/>
        <v>2908665</v>
      </c>
      <c r="P95" s="18">
        <f t="shared" si="74"/>
        <v>1745.205</v>
      </c>
      <c r="Q95" s="18">
        <f t="shared" si="75"/>
        <v>9662</v>
      </c>
      <c r="R95" s="16" t="s">
        <v>305</v>
      </c>
      <c r="S95" s="4">
        <f t="shared" si="76"/>
        <v>160040073</v>
      </c>
      <c r="W95" s="4"/>
      <c r="X95" s="4"/>
      <c r="AD95" s="4" t="s">
        <v>306</v>
      </c>
      <c r="AE95" s="4">
        <v>160010016</v>
      </c>
    </row>
    <row r="96" s="2" customFormat="1" spans="1:31">
      <c r="A96" s="4">
        <v>94</v>
      </c>
      <c r="B96" s="5" t="s">
        <v>307</v>
      </c>
      <c r="C96" s="13" t="s">
        <v>283</v>
      </c>
      <c r="D96" s="22" t="s">
        <v>41</v>
      </c>
      <c r="E96" s="13">
        <v>9</v>
      </c>
      <c r="F96" s="5">
        <v>2</v>
      </c>
      <c r="G96" s="5">
        <v>2</v>
      </c>
      <c r="H96" s="6">
        <f t="shared" si="70"/>
        <v>0.91</v>
      </c>
      <c r="I96" s="4">
        <f t="shared" si="71"/>
        <v>367138</v>
      </c>
      <c r="J96" s="13">
        <f>ROUND(VLOOKUP(D96,[1]物品容器!$T$3:$U$8,2,FALSE)*M96,0)</f>
        <v>100862</v>
      </c>
      <c r="K96" s="18">
        <f t="shared" si="72"/>
        <v>91784</v>
      </c>
      <c r="L96" s="18">
        <f t="shared" ref="L96:O96" si="105">ROUND($I96*L$2,0)</f>
        <v>220283</v>
      </c>
      <c r="M96" s="19">
        <v>1.00862</v>
      </c>
      <c r="N96" s="18">
        <f t="shared" si="105"/>
        <v>55071</v>
      </c>
      <c r="O96" s="18">
        <f t="shared" si="105"/>
        <v>5507070</v>
      </c>
      <c r="P96" s="18">
        <f t="shared" si="74"/>
        <v>3304.245</v>
      </c>
      <c r="Q96" s="18">
        <f t="shared" si="75"/>
        <v>18294</v>
      </c>
      <c r="R96" s="16" t="s">
        <v>308</v>
      </c>
      <c r="S96" s="4">
        <f t="shared" si="76"/>
        <v>160040074</v>
      </c>
      <c r="W96" s="4"/>
      <c r="X96" s="4"/>
      <c r="AD96" s="4" t="s">
        <v>309</v>
      </c>
      <c r="AE96" s="4">
        <v>160010017</v>
      </c>
    </row>
    <row r="97" s="2" customFormat="1" spans="1:31">
      <c r="A97" s="4">
        <v>95</v>
      </c>
      <c r="B97" s="5" t="s">
        <v>310</v>
      </c>
      <c r="C97" s="13" t="s">
        <v>283</v>
      </c>
      <c r="D97" s="22" t="s">
        <v>41</v>
      </c>
      <c r="E97" s="13">
        <v>10</v>
      </c>
      <c r="F97" s="5">
        <v>1</v>
      </c>
      <c r="G97" s="5">
        <v>1</v>
      </c>
      <c r="H97" s="6">
        <f t="shared" si="70"/>
        <v>1</v>
      </c>
      <c r="I97" s="4">
        <f t="shared" si="71"/>
        <v>99447</v>
      </c>
      <c r="J97" s="13">
        <f>ROUND(VLOOKUP(D97,[1]物品容器!$T$3:$U$8,2,FALSE)*M97,0)</f>
        <v>99447</v>
      </c>
      <c r="K97" s="18">
        <f t="shared" si="72"/>
        <v>99447</v>
      </c>
      <c r="L97" s="18">
        <f t="shared" ref="L97:O97" si="106">ROUND($I97*L$2,0)</f>
        <v>59668</v>
      </c>
      <c r="M97" s="19">
        <v>0.99447</v>
      </c>
      <c r="N97" s="18">
        <f t="shared" si="106"/>
        <v>14917</v>
      </c>
      <c r="O97" s="18">
        <f t="shared" si="106"/>
        <v>1491705</v>
      </c>
      <c r="P97" s="18">
        <f t="shared" si="74"/>
        <v>895.02</v>
      </c>
      <c r="Q97" s="18">
        <f t="shared" si="75"/>
        <v>4955</v>
      </c>
      <c r="R97" s="16" t="s">
        <v>311</v>
      </c>
      <c r="S97" s="4">
        <f t="shared" si="76"/>
        <v>160040075</v>
      </c>
      <c r="W97" s="4"/>
      <c r="X97" s="4"/>
      <c r="AD97" s="4" t="s">
        <v>312</v>
      </c>
      <c r="AE97" s="4">
        <v>160010018</v>
      </c>
    </row>
    <row r="98" s="2" customFormat="1" spans="1:31">
      <c r="A98" s="4">
        <v>96</v>
      </c>
      <c r="B98" s="5" t="s">
        <v>313</v>
      </c>
      <c r="C98" s="13" t="s">
        <v>283</v>
      </c>
      <c r="D98" s="22" t="s">
        <v>41</v>
      </c>
      <c r="E98" s="13">
        <v>11</v>
      </c>
      <c r="F98" s="5">
        <v>1</v>
      </c>
      <c r="G98" s="5">
        <v>2</v>
      </c>
      <c r="H98" s="6">
        <f t="shared" si="70"/>
        <v>0.97</v>
      </c>
      <c r="I98" s="4">
        <f t="shared" si="71"/>
        <v>194109</v>
      </c>
      <c r="J98" s="13">
        <f>ROUND(VLOOKUP(D98,[1]物品容器!$T$3:$U$8,2,FALSE)*M98,0)</f>
        <v>100056</v>
      </c>
      <c r="K98" s="18">
        <f t="shared" si="72"/>
        <v>97054</v>
      </c>
      <c r="L98" s="18">
        <f t="shared" ref="L98:O98" si="107">ROUND($I98*L$2,0)</f>
        <v>116465</v>
      </c>
      <c r="M98" s="19">
        <v>1.00056</v>
      </c>
      <c r="N98" s="18">
        <f t="shared" si="107"/>
        <v>29116</v>
      </c>
      <c r="O98" s="18">
        <f t="shared" si="107"/>
        <v>2911635</v>
      </c>
      <c r="P98" s="18">
        <f t="shared" si="74"/>
        <v>1746.975</v>
      </c>
      <c r="Q98" s="18">
        <f t="shared" si="75"/>
        <v>9672</v>
      </c>
      <c r="R98" s="16" t="s">
        <v>314</v>
      </c>
      <c r="S98" s="4">
        <f t="shared" si="76"/>
        <v>160040076</v>
      </c>
      <c r="W98" s="4"/>
      <c r="X98" s="4"/>
      <c r="AD98" s="4" t="s">
        <v>315</v>
      </c>
      <c r="AE98" s="4">
        <v>160010019</v>
      </c>
    </row>
    <row r="99" s="2" customFormat="1" spans="1:31">
      <c r="A99" s="4">
        <v>97</v>
      </c>
      <c r="B99" s="5" t="s">
        <v>316</v>
      </c>
      <c r="C99" s="13" t="s">
        <v>283</v>
      </c>
      <c r="D99" s="22" t="s">
        <v>41</v>
      </c>
      <c r="E99" s="13">
        <v>12</v>
      </c>
      <c r="F99" s="5">
        <v>1</v>
      </c>
      <c r="G99" s="5">
        <v>2</v>
      </c>
      <c r="H99" s="6">
        <f t="shared" si="70"/>
        <v>0.97</v>
      </c>
      <c r="I99" s="4">
        <f t="shared" si="71"/>
        <v>195321</v>
      </c>
      <c r="J99" s="13">
        <f>ROUND(VLOOKUP(D99,[1]物品容器!$T$3:$U$8,2,FALSE)*M99,0)</f>
        <v>100681</v>
      </c>
      <c r="K99" s="18">
        <f t="shared" si="72"/>
        <v>97661</v>
      </c>
      <c r="L99" s="18">
        <f t="shared" ref="L99:O99" si="108">ROUND($I99*L$2,0)</f>
        <v>117193</v>
      </c>
      <c r="M99" s="19">
        <v>1.00681</v>
      </c>
      <c r="N99" s="18">
        <f t="shared" si="108"/>
        <v>29298</v>
      </c>
      <c r="O99" s="18">
        <f t="shared" si="108"/>
        <v>2929815</v>
      </c>
      <c r="P99" s="18">
        <f t="shared" si="74"/>
        <v>1757.895</v>
      </c>
      <c r="Q99" s="18">
        <f t="shared" si="75"/>
        <v>9733</v>
      </c>
      <c r="R99" s="16" t="s">
        <v>317</v>
      </c>
      <c r="S99" s="4">
        <f t="shared" si="76"/>
        <v>160040077</v>
      </c>
      <c r="W99" s="4"/>
      <c r="X99" s="4"/>
      <c r="AD99" s="4" t="s">
        <v>318</v>
      </c>
      <c r="AE99" s="4">
        <v>160010020</v>
      </c>
    </row>
    <row r="100" s="2" customFormat="1" spans="1:31">
      <c r="A100" s="4">
        <v>98</v>
      </c>
      <c r="B100" s="5" t="s">
        <v>319</v>
      </c>
      <c r="C100" s="13" t="s">
        <v>283</v>
      </c>
      <c r="D100" s="22" t="s">
        <v>41</v>
      </c>
      <c r="E100" s="13">
        <v>13</v>
      </c>
      <c r="F100" s="5">
        <v>3</v>
      </c>
      <c r="G100" s="5">
        <v>2</v>
      </c>
      <c r="H100" s="6">
        <f t="shared" si="70"/>
        <v>0.88</v>
      </c>
      <c r="I100" s="4">
        <f t="shared" si="71"/>
        <v>532958</v>
      </c>
      <c r="J100" s="13">
        <f>ROUND(VLOOKUP(D100,[1]物品容器!$T$3:$U$8,2,FALSE)*M100,0)</f>
        <v>100939</v>
      </c>
      <c r="K100" s="18">
        <f t="shared" si="72"/>
        <v>88826</v>
      </c>
      <c r="L100" s="18">
        <f t="shared" ref="L100:O100" si="109">ROUND($I100*L$2,0)</f>
        <v>319775</v>
      </c>
      <c r="M100" s="19">
        <v>1.00939</v>
      </c>
      <c r="N100" s="18">
        <f t="shared" si="109"/>
        <v>79944</v>
      </c>
      <c r="O100" s="18">
        <f t="shared" si="109"/>
        <v>7994370</v>
      </c>
      <c r="P100" s="18">
        <f t="shared" si="74"/>
        <v>4796.625</v>
      </c>
      <c r="Q100" s="18">
        <f t="shared" si="75"/>
        <v>26557</v>
      </c>
      <c r="R100" s="16" t="s">
        <v>320</v>
      </c>
      <c r="S100" s="4">
        <f t="shared" si="76"/>
        <v>160040078</v>
      </c>
      <c r="W100" s="4"/>
      <c r="X100" s="4"/>
      <c r="AD100" s="4" t="s">
        <v>321</v>
      </c>
      <c r="AE100" s="4">
        <v>160010021</v>
      </c>
    </row>
    <row r="101" s="2" customFormat="1" spans="1:31">
      <c r="A101" s="4">
        <v>99</v>
      </c>
      <c r="B101" s="5" t="s">
        <v>322</v>
      </c>
      <c r="C101" s="13" t="s">
        <v>283</v>
      </c>
      <c r="D101" s="24" t="s">
        <v>63</v>
      </c>
      <c r="E101" s="13">
        <v>14</v>
      </c>
      <c r="F101" s="5">
        <v>1</v>
      </c>
      <c r="G101" s="5">
        <v>2</v>
      </c>
      <c r="H101" s="6">
        <f t="shared" si="70"/>
        <v>0.97</v>
      </c>
      <c r="I101" s="4">
        <f t="shared" si="71"/>
        <v>58763</v>
      </c>
      <c r="J101" s="13">
        <f>ROUND(VLOOKUP(D101,[1]物品容器!$T$3:$U$8,2,FALSE)*M101,0)</f>
        <v>30290</v>
      </c>
      <c r="K101" s="18">
        <f t="shared" si="72"/>
        <v>29381</v>
      </c>
      <c r="L101" s="18">
        <f t="shared" ref="L101:O101" si="110">ROUND($I101*L$2,0)</f>
        <v>35258</v>
      </c>
      <c r="M101" s="19">
        <v>1.00966</v>
      </c>
      <c r="N101" s="18">
        <f t="shared" si="110"/>
        <v>8814</v>
      </c>
      <c r="O101" s="18">
        <f t="shared" si="110"/>
        <v>881445</v>
      </c>
      <c r="P101" s="18">
        <f t="shared" si="74"/>
        <v>528.87</v>
      </c>
      <c r="Q101" s="18">
        <f t="shared" si="75"/>
        <v>2928</v>
      </c>
      <c r="R101" s="2" t="s">
        <v>323</v>
      </c>
      <c r="S101" s="4">
        <f t="shared" si="76"/>
        <v>160040053</v>
      </c>
      <c r="W101" s="4"/>
      <c r="X101" s="4"/>
      <c r="AD101" s="4" t="s">
        <v>324</v>
      </c>
      <c r="AE101" s="4">
        <v>160010022</v>
      </c>
    </row>
    <row r="102" s="2" customFormat="1" spans="1:31">
      <c r="A102" s="4">
        <v>100</v>
      </c>
      <c r="B102" s="5" t="s">
        <v>325</v>
      </c>
      <c r="C102" s="13" t="s">
        <v>283</v>
      </c>
      <c r="D102" s="24" t="s">
        <v>63</v>
      </c>
      <c r="E102" s="13">
        <v>15</v>
      </c>
      <c r="F102" s="5">
        <v>1</v>
      </c>
      <c r="G102" s="5">
        <v>1</v>
      </c>
      <c r="H102" s="6">
        <f t="shared" si="70"/>
        <v>1</v>
      </c>
      <c r="I102" s="4">
        <f t="shared" si="71"/>
        <v>30173</v>
      </c>
      <c r="J102" s="13">
        <f>ROUND(VLOOKUP(D102,[1]物品容器!$T$3:$U$8,2,FALSE)*M102,0)</f>
        <v>30173</v>
      </c>
      <c r="K102" s="18">
        <f t="shared" si="72"/>
        <v>30173</v>
      </c>
      <c r="L102" s="18">
        <f t="shared" ref="L102:O102" si="111">ROUND($I102*L$2,0)</f>
        <v>18104</v>
      </c>
      <c r="M102" s="19">
        <v>1.00577</v>
      </c>
      <c r="N102" s="18">
        <f t="shared" si="111"/>
        <v>4526</v>
      </c>
      <c r="O102" s="18">
        <f t="shared" si="111"/>
        <v>452595</v>
      </c>
      <c r="P102" s="18">
        <f t="shared" si="74"/>
        <v>271.56</v>
      </c>
      <c r="Q102" s="18">
        <f t="shared" si="75"/>
        <v>1503</v>
      </c>
      <c r="R102" s="2" t="s">
        <v>326</v>
      </c>
      <c r="S102" s="4">
        <f t="shared" si="76"/>
        <v>160040054</v>
      </c>
      <c r="W102" s="4"/>
      <c r="X102" s="4"/>
      <c r="AD102" s="4" t="s">
        <v>327</v>
      </c>
      <c r="AE102" s="4">
        <v>160010023</v>
      </c>
    </row>
    <row r="103" s="2" customFormat="1" spans="1:31">
      <c r="A103" s="4">
        <v>101</v>
      </c>
      <c r="B103" s="5" t="s">
        <v>328</v>
      </c>
      <c r="C103" s="13" t="s">
        <v>283</v>
      </c>
      <c r="D103" s="24" t="s">
        <v>63</v>
      </c>
      <c r="E103" s="13">
        <v>16</v>
      </c>
      <c r="F103" s="5">
        <v>1</v>
      </c>
      <c r="G103" s="5">
        <v>2</v>
      </c>
      <c r="H103" s="6">
        <f t="shared" si="70"/>
        <v>0.97</v>
      </c>
      <c r="I103" s="4">
        <f t="shared" si="71"/>
        <v>58340</v>
      </c>
      <c r="J103" s="13">
        <f>ROUND(VLOOKUP(D103,[1]物品容器!$T$3:$U$8,2,FALSE)*M103,0)</f>
        <v>30072</v>
      </c>
      <c r="K103" s="18">
        <f t="shared" si="72"/>
        <v>29170</v>
      </c>
      <c r="L103" s="18">
        <f t="shared" ref="L103:O103" si="112">ROUND($I103*L$2,0)</f>
        <v>35004</v>
      </c>
      <c r="M103" s="19">
        <v>1.0024</v>
      </c>
      <c r="N103" s="18">
        <f t="shared" si="112"/>
        <v>8751</v>
      </c>
      <c r="O103" s="18">
        <f t="shared" si="112"/>
        <v>875100</v>
      </c>
      <c r="P103" s="18">
        <f t="shared" si="74"/>
        <v>525.06</v>
      </c>
      <c r="Q103" s="18">
        <f t="shared" si="75"/>
        <v>2907</v>
      </c>
      <c r="R103" s="2" t="s">
        <v>329</v>
      </c>
      <c r="S103" s="4">
        <f t="shared" si="76"/>
        <v>160040055</v>
      </c>
      <c r="W103" s="4"/>
      <c r="X103" s="4"/>
      <c r="AD103" s="4" t="s">
        <v>330</v>
      </c>
      <c r="AE103" s="4">
        <v>160010024</v>
      </c>
    </row>
    <row r="104" s="2" customFormat="1" spans="1:31">
      <c r="A104" s="4">
        <v>102</v>
      </c>
      <c r="B104" s="5" t="s">
        <v>331</v>
      </c>
      <c r="C104" s="13" t="s">
        <v>283</v>
      </c>
      <c r="D104" s="24" t="s">
        <v>63</v>
      </c>
      <c r="E104" s="13">
        <v>17</v>
      </c>
      <c r="F104" s="5">
        <v>1</v>
      </c>
      <c r="G104" s="5">
        <v>1</v>
      </c>
      <c r="H104" s="6">
        <f t="shared" si="70"/>
        <v>1</v>
      </c>
      <c r="I104" s="4">
        <f t="shared" si="71"/>
        <v>29767</v>
      </c>
      <c r="J104" s="13">
        <f>ROUND(VLOOKUP(D104,[1]物品容器!$T$3:$U$8,2,FALSE)*M104,0)</f>
        <v>29767</v>
      </c>
      <c r="K104" s="18">
        <f t="shared" si="72"/>
        <v>29767</v>
      </c>
      <c r="L104" s="18">
        <f t="shared" ref="L104:O104" si="113">ROUND($I104*L$2,0)</f>
        <v>17860</v>
      </c>
      <c r="M104" s="19">
        <v>0.99224</v>
      </c>
      <c r="N104" s="18">
        <f t="shared" si="113"/>
        <v>4465</v>
      </c>
      <c r="O104" s="18">
        <f t="shared" si="113"/>
        <v>446505</v>
      </c>
      <c r="P104" s="18">
        <f t="shared" si="74"/>
        <v>267.9</v>
      </c>
      <c r="Q104" s="18">
        <f t="shared" si="75"/>
        <v>1483</v>
      </c>
      <c r="R104" s="2" t="s">
        <v>332</v>
      </c>
      <c r="S104" s="4">
        <f t="shared" si="76"/>
        <v>160040056</v>
      </c>
      <c r="W104" s="4"/>
      <c r="X104" s="4"/>
      <c r="AD104" s="4" t="s">
        <v>333</v>
      </c>
      <c r="AE104" s="4">
        <v>160010025</v>
      </c>
    </row>
    <row r="105" s="2" customFormat="1" spans="1:31">
      <c r="A105" s="4">
        <v>103</v>
      </c>
      <c r="B105" s="5" t="s">
        <v>334</v>
      </c>
      <c r="C105" s="13" t="s">
        <v>283</v>
      </c>
      <c r="D105" s="24" t="s">
        <v>63</v>
      </c>
      <c r="E105" s="13">
        <v>18</v>
      </c>
      <c r="F105" s="5">
        <v>2</v>
      </c>
      <c r="G105" s="5">
        <v>1</v>
      </c>
      <c r="H105" s="6">
        <f t="shared" si="70"/>
        <v>0.97</v>
      </c>
      <c r="I105" s="4">
        <f t="shared" si="71"/>
        <v>58439</v>
      </c>
      <c r="J105" s="13">
        <f>ROUND(VLOOKUP(D105,[1]物品容器!$T$3:$U$8,2,FALSE)*M105,0)</f>
        <v>30123</v>
      </c>
      <c r="K105" s="18">
        <f t="shared" si="72"/>
        <v>29219</v>
      </c>
      <c r="L105" s="18">
        <f t="shared" ref="L105:O105" si="114">ROUND($I105*L$2,0)</f>
        <v>35063</v>
      </c>
      <c r="M105" s="19">
        <v>1.00409</v>
      </c>
      <c r="N105" s="18">
        <f t="shared" si="114"/>
        <v>8766</v>
      </c>
      <c r="O105" s="18">
        <f t="shared" si="114"/>
        <v>876585</v>
      </c>
      <c r="P105" s="18">
        <f t="shared" si="74"/>
        <v>525.945</v>
      </c>
      <c r="Q105" s="18">
        <f t="shared" si="75"/>
        <v>2912</v>
      </c>
      <c r="R105" s="2" t="s">
        <v>335</v>
      </c>
      <c r="S105" s="4">
        <f t="shared" si="76"/>
        <v>160040057</v>
      </c>
      <c r="W105" s="4"/>
      <c r="X105" s="4"/>
      <c r="AD105" s="4" t="s">
        <v>336</v>
      </c>
      <c r="AE105" s="4">
        <v>160010026</v>
      </c>
    </row>
    <row r="106" s="2" customFormat="1" spans="1:31">
      <c r="A106" s="4">
        <v>104</v>
      </c>
      <c r="B106" s="5" t="s">
        <v>337</v>
      </c>
      <c r="C106" s="13" t="s">
        <v>283</v>
      </c>
      <c r="D106" s="24" t="s">
        <v>63</v>
      </c>
      <c r="E106" s="13">
        <v>19</v>
      </c>
      <c r="F106" s="5">
        <v>2</v>
      </c>
      <c r="G106" s="5">
        <v>1</v>
      </c>
      <c r="H106" s="6">
        <f t="shared" si="70"/>
        <v>0.97</v>
      </c>
      <c r="I106" s="4">
        <f t="shared" si="71"/>
        <v>57965</v>
      </c>
      <c r="J106" s="13">
        <f>ROUND(VLOOKUP(D106,[1]物品容器!$T$3:$U$8,2,FALSE)*M106,0)</f>
        <v>29879</v>
      </c>
      <c r="K106" s="18">
        <f t="shared" si="72"/>
        <v>28983</v>
      </c>
      <c r="L106" s="18">
        <f t="shared" ref="L106:O106" si="115">ROUND($I106*L$2,0)</f>
        <v>34779</v>
      </c>
      <c r="M106" s="19">
        <v>0.99598</v>
      </c>
      <c r="N106" s="18">
        <f t="shared" si="115"/>
        <v>8695</v>
      </c>
      <c r="O106" s="18">
        <f t="shared" si="115"/>
        <v>869475</v>
      </c>
      <c r="P106" s="18">
        <f t="shared" si="74"/>
        <v>521.685</v>
      </c>
      <c r="Q106" s="18">
        <f t="shared" si="75"/>
        <v>2888</v>
      </c>
      <c r="R106" s="2" t="s">
        <v>338</v>
      </c>
      <c r="S106" s="4">
        <f t="shared" si="76"/>
        <v>160040058</v>
      </c>
      <c r="W106" s="4"/>
      <c r="X106" s="4"/>
      <c r="AD106" s="4" t="s">
        <v>339</v>
      </c>
      <c r="AE106" s="4">
        <v>160010027</v>
      </c>
    </row>
    <row r="107" s="2" customFormat="1" spans="1:31">
      <c r="A107" s="4">
        <v>105</v>
      </c>
      <c r="B107" s="5" t="s">
        <v>340</v>
      </c>
      <c r="C107" s="13" t="s">
        <v>283</v>
      </c>
      <c r="D107" s="24" t="s">
        <v>63</v>
      </c>
      <c r="E107" s="13">
        <v>20</v>
      </c>
      <c r="F107" s="5">
        <v>2</v>
      </c>
      <c r="G107" s="5">
        <v>2</v>
      </c>
      <c r="H107" s="6">
        <f t="shared" si="70"/>
        <v>0.91</v>
      </c>
      <c r="I107" s="4">
        <f t="shared" si="71"/>
        <v>108745</v>
      </c>
      <c r="J107" s="13">
        <f>ROUND(VLOOKUP(D107,[1]物品容器!$T$3:$U$8,2,FALSE)*M107,0)</f>
        <v>29875</v>
      </c>
      <c r="K107" s="18">
        <f t="shared" si="72"/>
        <v>27186</v>
      </c>
      <c r="L107" s="18">
        <f t="shared" ref="L107:O107" si="116">ROUND($I107*L$2,0)</f>
        <v>65247</v>
      </c>
      <c r="M107" s="19">
        <v>0.99582</v>
      </c>
      <c r="N107" s="18">
        <f t="shared" si="116"/>
        <v>16312</v>
      </c>
      <c r="O107" s="18">
        <f t="shared" si="116"/>
        <v>1631175</v>
      </c>
      <c r="P107" s="18">
        <f t="shared" si="74"/>
        <v>978.705</v>
      </c>
      <c r="Q107" s="18">
        <f t="shared" si="75"/>
        <v>5419</v>
      </c>
      <c r="R107" s="2" t="s">
        <v>341</v>
      </c>
      <c r="S107" s="4">
        <f t="shared" si="76"/>
        <v>160040059</v>
      </c>
      <c r="W107" s="4"/>
      <c r="X107" s="4"/>
      <c r="AD107" s="4" t="s">
        <v>342</v>
      </c>
      <c r="AE107" s="4">
        <v>160010028</v>
      </c>
    </row>
    <row r="108" s="2" customFormat="1" spans="1:31">
      <c r="A108" s="4">
        <v>106</v>
      </c>
      <c r="B108" s="5" t="s">
        <v>343</v>
      </c>
      <c r="C108" s="13" t="s">
        <v>283</v>
      </c>
      <c r="D108" s="24" t="s">
        <v>63</v>
      </c>
      <c r="E108" s="13">
        <v>21</v>
      </c>
      <c r="F108" s="5">
        <v>2</v>
      </c>
      <c r="G108" s="5">
        <v>1</v>
      </c>
      <c r="H108" s="6">
        <f t="shared" si="70"/>
        <v>0.97</v>
      </c>
      <c r="I108" s="4">
        <f t="shared" si="71"/>
        <v>58545</v>
      </c>
      <c r="J108" s="13">
        <f>ROUND(VLOOKUP(D108,[1]物品容器!$T$3:$U$8,2,FALSE)*M108,0)</f>
        <v>30178</v>
      </c>
      <c r="K108" s="18">
        <f t="shared" si="72"/>
        <v>29273</v>
      </c>
      <c r="L108" s="18">
        <f t="shared" ref="L108:O108" si="117">ROUND($I108*L$2,0)</f>
        <v>35127</v>
      </c>
      <c r="M108" s="19">
        <v>1.00592</v>
      </c>
      <c r="N108" s="18">
        <f t="shared" si="117"/>
        <v>8782</v>
      </c>
      <c r="O108" s="18">
        <f t="shared" si="117"/>
        <v>878175</v>
      </c>
      <c r="P108" s="18">
        <f t="shared" si="74"/>
        <v>526.905</v>
      </c>
      <c r="Q108" s="18">
        <f t="shared" si="75"/>
        <v>2917</v>
      </c>
      <c r="R108" s="2" t="s">
        <v>344</v>
      </c>
      <c r="S108" s="4">
        <f t="shared" si="76"/>
        <v>160040060</v>
      </c>
      <c r="W108" s="4"/>
      <c r="X108" s="4"/>
      <c r="AD108" s="4" t="s">
        <v>345</v>
      </c>
      <c r="AE108" s="4">
        <v>160010029</v>
      </c>
    </row>
    <row r="109" s="2" customFormat="1" spans="1:31">
      <c r="A109" s="4">
        <v>107</v>
      </c>
      <c r="B109" s="5" t="s">
        <v>346</v>
      </c>
      <c r="C109" s="13" t="s">
        <v>283</v>
      </c>
      <c r="D109" s="24" t="s">
        <v>63</v>
      </c>
      <c r="E109" s="13">
        <v>22</v>
      </c>
      <c r="F109" s="5">
        <v>2</v>
      </c>
      <c r="G109" s="5">
        <v>2</v>
      </c>
      <c r="H109" s="6">
        <f t="shared" si="70"/>
        <v>0.91</v>
      </c>
      <c r="I109" s="4">
        <f t="shared" si="71"/>
        <v>109513</v>
      </c>
      <c r="J109" s="13">
        <f>ROUND(VLOOKUP(D109,[1]物品容器!$T$3:$U$8,2,FALSE)*M109,0)</f>
        <v>30086</v>
      </c>
      <c r="K109" s="18">
        <f t="shared" si="72"/>
        <v>27378</v>
      </c>
      <c r="L109" s="18">
        <f t="shared" ref="L109:O109" si="118">ROUND($I109*L$2,0)</f>
        <v>65708</v>
      </c>
      <c r="M109" s="19">
        <v>1.00287</v>
      </c>
      <c r="N109" s="18">
        <f t="shared" si="118"/>
        <v>16427</v>
      </c>
      <c r="O109" s="18">
        <f t="shared" si="118"/>
        <v>1642695</v>
      </c>
      <c r="P109" s="18">
        <f t="shared" si="74"/>
        <v>985.62</v>
      </c>
      <c r="Q109" s="18">
        <f t="shared" si="75"/>
        <v>5457</v>
      </c>
      <c r="R109" s="2" t="s">
        <v>347</v>
      </c>
      <c r="S109" s="4">
        <f t="shared" si="76"/>
        <v>160040061</v>
      </c>
      <c r="W109" s="4"/>
      <c r="X109" s="4"/>
      <c r="AD109" s="4" t="s">
        <v>348</v>
      </c>
      <c r="AE109" s="4">
        <v>160010030</v>
      </c>
    </row>
    <row r="110" s="2" customFormat="1" spans="1:31">
      <c r="A110" s="4">
        <v>108</v>
      </c>
      <c r="B110" s="5" t="s">
        <v>349</v>
      </c>
      <c r="C110" s="13" t="s">
        <v>283</v>
      </c>
      <c r="D110" s="24" t="s">
        <v>63</v>
      </c>
      <c r="E110" s="13">
        <v>23</v>
      </c>
      <c r="F110" s="5">
        <v>2</v>
      </c>
      <c r="G110" s="5">
        <v>2</v>
      </c>
      <c r="H110" s="6">
        <f t="shared" si="70"/>
        <v>0.91</v>
      </c>
      <c r="I110" s="4">
        <f t="shared" si="71"/>
        <v>108996</v>
      </c>
      <c r="J110" s="13">
        <f>ROUND(VLOOKUP(D110,[1]物品容器!$T$3:$U$8,2,FALSE)*M110,0)</f>
        <v>29944</v>
      </c>
      <c r="K110" s="18">
        <f t="shared" si="72"/>
        <v>27249</v>
      </c>
      <c r="L110" s="18">
        <f t="shared" ref="L110:O110" si="119">ROUND($I110*L$2,0)</f>
        <v>65398</v>
      </c>
      <c r="M110" s="19">
        <v>0.99814</v>
      </c>
      <c r="N110" s="18">
        <f t="shared" si="119"/>
        <v>16349</v>
      </c>
      <c r="O110" s="18">
        <f t="shared" si="119"/>
        <v>1634940</v>
      </c>
      <c r="P110" s="18">
        <f t="shared" si="74"/>
        <v>980.97</v>
      </c>
      <c r="Q110" s="18">
        <f t="shared" si="75"/>
        <v>5431</v>
      </c>
      <c r="R110" s="2" t="s">
        <v>350</v>
      </c>
      <c r="S110" s="4">
        <f t="shared" si="76"/>
        <v>160040062</v>
      </c>
      <c r="W110" s="4"/>
      <c r="X110" s="4"/>
      <c r="AD110" s="4" t="s">
        <v>351</v>
      </c>
      <c r="AE110" s="4">
        <v>160010031</v>
      </c>
    </row>
    <row r="111" s="2" customFormat="1" spans="1:31">
      <c r="A111" s="4">
        <v>109</v>
      </c>
      <c r="B111" s="5" t="s">
        <v>352</v>
      </c>
      <c r="C111" s="13" t="s">
        <v>283</v>
      </c>
      <c r="D111" s="24" t="s">
        <v>63</v>
      </c>
      <c r="E111" s="13">
        <v>24</v>
      </c>
      <c r="F111" s="5">
        <v>1</v>
      </c>
      <c r="G111" s="5">
        <v>1</v>
      </c>
      <c r="H111" s="6">
        <f t="shared" si="70"/>
        <v>1</v>
      </c>
      <c r="I111" s="4">
        <f t="shared" si="71"/>
        <v>29990</v>
      </c>
      <c r="J111" s="13">
        <f>ROUND(VLOOKUP(D111,[1]物品容器!$T$3:$U$8,2,FALSE)*M111,0)</f>
        <v>29990</v>
      </c>
      <c r="K111" s="18">
        <f t="shared" si="72"/>
        <v>29990</v>
      </c>
      <c r="L111" s="18">
        <f t="shared" ref="L111:O111" si="120">ROUND($I111*L$2,0)</f>
        <v>17994</v>
      </c>
      <c r="M111" s="19">
        <v>0.99968</v>
      </c>
      <c r="N111" s="18">
        <f t="shared" si="120"/>
        <v>4499</v>
      </c>
      <c r="O111" s="18">
        <f t="shared" si="120"/>
        <v>449850</v>
      </c>
      <c r="P111" s="18">
        <f t="shared" si="74"/>
        <v>269.91</v>
      </c>
      <c r="Q111" s="18">
        <f t="shared" si="75"/>
        <v>1494</v>
      </c>
      <c r="R111" s="2" t="s">
        <v>353</v>
      </c>
      <c r="S111" s="4">
        <f t="shared" si="76"/>
        <v>160040063</v>
      </c>
      <c r="W111" s="4"/>
      <c r="X111" s="4"/>
      <c r="AD111" s="4" t="s">
        <v>354</v>
      </c>
      <c r="AE111" s="4">
        <v>160010032</v>
      </c>
    </row>
    <row r="112" s="2" customFormat="1" spans="1:31">
      <c r="A112" s="4">
        <v>110</v>
      </c>
      <c r="B112" s="5" t="s">
        <v>355</v>
      </c>
      <c r="C112" s="13" t="s">
        <v>283</v>
      </c>
      <c r="D112" s="24" t="s">
        <v>63</v>
      </c>
      <c r="E112" s="13">
        <v>25</v>
      </c>
      <c r="F112" s="5">
        <v>2</v>
      </c>
      <c r="G112" s="5">
        <v>1</v>
      </c>
      <c r="H112" s="6">
        <f t="shared" si="70"/>
        <v>0.97</v>
      </c>
      <c r="I112" s="4">
        <f t="shared" si="71"/>
        <v>57936</v>
      </c>
      <c r="J112" s="13">
        <f>ROUND(VLOOKUP(D112,[1]物品容器!$T$3:$U$8,2,FALSE)*M112,0)</f>
        <v>29864</v>
      </c>
      <c r="K112" s="18">
        <f t="shared" si="72"/>
        <v>28968</v>
      </c>
      <c r="L112" s="18">
        <f t="shared" ref="L112:O112" si="121">ROUND($I112*L$2,0)</f>
        <v>34762</v>
      </c>
      <c r="M112" s="19">
        <v>0.99546</v>
      </c>
      <c r="N112" s="18">
        <f t="shared" si="121"/>
        <v>8690</v>
      </c>
      <c r="O112" s="18">
        <f t="shared" si="121"/>
        <v>869040</v>
      </c>
      <c r="P112" s="18">
        <f t="shared" si="74"/>
        <v>521.43</v>
      </c>
      <c r="Q112" s="18">
        <f t="shared" si="75"/>
        <v>2887</v>
      </c>
      <c r="R112" s="2" t="s">
        <v>356</v>
      </c>
      <c r="S112" s="4">
        <f t="shared" si="76"/>
        <v>160040064</v>
      </c>
      <c r="W112" s="4"/>
      <c r="X112" s="4"/>
      <c r="AD112" s="4" t="s">
        <v>357</v>
      </c>
      <c r="AE112" s="4">
        <v>160010033</v>
      </c>
    </row>
    <row r="113" s="2" customFormat="1" spans="1:31">
      <c r="A113" s="4">
        <v>111</v>
      </c>
      <c r="B113" s="5" t="s">
        <v>358</v>
      </c>
      <c r="C113" s="13" t="s">
        <v>283</v>
      </c>
      <c r="D113" s="24" t="s">
        <v>63</v>
      </c>
      <c r="E113" s="13">
        <v>26</v>
      </c>
      <c r="F113" s="5">
        <v>2</v>
      </c>
      <c r="G113" s="5">
        <v>2</v>
      </c>
      <c r="H113" s="6">
        <f t="shared" si="70"/>
        <v>0.91</v>
      </c>
      <c r="I113" s="4">
        <f t="shared" si="71"/>
        <v>109790</v>
      </c>
      <c r="J113" s="13">
        <f>ROUND(VLOOKUP(D113,[1]物品容器!$T$3:$U$8,2,FALSE)*M113,0)</f>
        <v>30162</v>
      </c>
      <c r="K113" s="18">
        <f t="shared" si="72"/>
        <v>27447</v>
      </c>
      <c r="L113" s="18">
        <f t="shared" ref="L113:O113" si="122">ROUND($I113*L$2,0)</f>
        <v>65874</v>
      </c>
      <c r="M113" s="19">
        <v>1.00539</v>
      </c>
      <c r="N113" s="18">
        <f t="shared" si="122"/>
        <v>16469</v>
      </c>
      <c r="O113" s="18">
        <f t="shared" si="122"/>
        <v>1646850</v>
      </c>
      <c r="P113" s="18">
        <f t="shared" si="74"/>
        <v>988.11</v>
      </c>
      <c r="Q113" s="18">
        <f t="shared" si="75"/>
        <v>5471</v>
      </c>
      <c r="R113" s="2" t="s">
        <v>359</v>
      </c>
      <c r="S113" s="4">
        <f t="shared" si="76"/>
        <v>160040065</v>
      </c>
      <c r="W113" s="4"/>
      <c r="X113" s="4"/>
      <c r="AD113" s="4" t="s">
        <v>360</v>
      </c>
      <c r="AE113" s="4">
        <v>160010034</v>
      </c>
    </row>
    <row r="114" s="2" customFormat="1" spans="1:31">
      <c r="A114" s="4">
        <v>112</v>
      </c>
      <c r="B114" s="5" t="s">
        <v>361</v>
      </c>
      <c r="C114" s="13" t="s">
        <v>283</v>
      </c>
      <c r="D114" s="24" t="s">
        <v>63</v>
      </c>
      <c r="E114" s="13">
        <v>27</v>
      </c>
      <c r="F114" s="5">
        <v>1</v>
      </c>
      <c r="G114" s="5">
        <v>1</v>
      </c>
      <c r="H114" s="6">
        <f t="shared" si="70"/>
        <v>1</v>
      </c>
      <c r="I114" s="4">
        <f t="shared" si="71"/>
        <v>30170</v>
      </c>
      <c r="J114" s="13">
        <f>ROUND(VLOOKUP(D114,[1]物品容器!$T$3:$U$8,2,FALSE)*M114,0)</f>
        <v>30170</v>
      </c>
      <c r="K114" s="18">
        <f t="shared" si="72"/>
        <v>30170</v>
      </c>
      <c r="L114" s="18">
        <f t="shared" ref="L114:O114" si="123">ROUND($I114*L$2,0)</f>
        <v>18102</v>
      </c>
      <c r="M114" s="19">
        <v>1.00568</v>
      </c>
      <c r="N114" s="18">
        <f t="shared" si="123"/>
        <v>4526</v>
      </c>
      <c r="O114" s="18">
        <f t="shared" si="123"/>
        <v>452550</v>
      </c>
      <c r="P114" s="18">
        <f t="shared" si="74"/>
        <v>271.53</v>
      </c>
      <c r="Q114" s="18">
        <f t="shared" si="75"/>
        <v>1503</v>
      </c>
      <c r="R114" s="2" t="s">
        <v>362</v>
      </c>
      <c r="S114" s="4">
        <f t="shared" si="76"/>
        <v>160040066</v>
      </c>
      <c r="W114" s="4"/>
      <c r="X114" s="4"/>
      <c r="AD114" s="4" t="s">
        <v>363</v>
      </c>
      <c r="AE114" s="4">
        <v>160010035</v>
      </c>
    </row>
    <row r="115" s="2" customFormat="1" spans="1:31">
      <c r="A115" s="4">
        <v>113</v>
      </c>
      <c r="B115" s="5" t="s">
        <v>364</v>
      </c>
      <c r="C115" s="13" t="s">
        <v>283</v>
      </c>
      <c r="D115" s="24" t="s">
        <v>63</v>
      </c>
      <c r="E115" s="13">
        <v>28</v>
      </c>
      <c r="F115" s="5">
        <v>1</v>
      </c>
      <c r="G115" s="5">
        <v>1</v>
      </c>
      <c r="H115" s="6">
        <f t="shared" si="70"/>
        <v>1</v>
      </c>
      <c r="I115" s="4">
        <f t="shared" si="71"/>
        <v>29746</v>
      </c>
      <c r="J115" s="13">
        <f>ROUND(VLOOKUP(D115,[1]物品容器!$T$3:$U$8,2,FALSE)*M115,0)</f>
        <v>29746</v>
      </c>
      <c r="K115" s="18">
        <f t="shared" si="72"/>
        <v>29746</v>
      </c>
      <c r="L115" s="18">
        <f t="shared" ref="L115:O115" si="124">ROUND($I115*L$2,0)</f>
        <v>17848</v>
      </c>
      <c r="M115" s="19">
        <v>0.99153</v>
      </c>
      <c r="N115" s="18">
        <f t="shared" si="124"/>
        <v>4462</v>
      </c>
      <c r="O115" s="18">
        <f t="shared" si="124"/>
        <v>446190</v>
      </c>
      <c r="P115" s="18">
        <f t="shared" si="74"/>
        <v>267.72</v>
      </c>
      <c r="Q115" s="18">
        <f t="shared" si="75"/>
        <v>1482</v>
      </c>
      <c r="R115" s="2" t="s">
        <v>365</v>
      </c>
      <c r="S115" s="4">
        <f t="shared" si="76"/>
        <v>160040067</v>
      </c>
      <c r="W115" s="4"/>
      <c r="X115" s="4"/>
      <c r="AD115" s="4" t="s">
        <v>366</v>
      </c>
      <c r="AE115" s="4">
        <v>160010036</v>
      </c>
    </row>
    <row r="116" s="2" customFormat="1" spans="1:31">
      <c r="A116" s="4">
        <v>114</v>
      </c>
      <c r="B116" s="5" t="s">
        <v>367</v>
      </c>
      <c r="C116" s="13" t="s">
        <v>283</v>
      </c>
      <c r="D116" s="24" t="s">
        <v>63</v>
      </c>
      <c r="E116" s="13">
        <v>29</v>
      </c>
      <c r="F116" s="5">
        <v>2</v>
      </c>
      <c r="G116" s="5">
        <v>2</v>
      </c>
      <c r="H116" s="6">
        <f t="shared" si="70"/>
        <v>0.91</v>
      </c>
      <c r="I116" s="4">
        <f t="shared" si="71"/>
        <v>110267</v>
      </c>
      <c r="J116" s="13">
        <f>ROUND(VLOOKUP(D116,[1]物品容器!$T$3:$U$8,2,FALSE)*M116,0)</f>
        <v>30293</v>
      </c>
      <c r="K116" s="18">
        <f t="shared" si="72"/>
        <v>27567</v>
      </c>
      <c r="L116" s="18">
        <f t="shared" ref="L116:O116" si="125">ROUND($I116*L$2,0)</f>
        <v>66160</v>
      </c>
      <c r="M116" s="19">
        <v>1.00978</v>
      </c>
      <c r="N116" s="18">
        <f t="shared" si="125"/>
        <v>16540</v>
      </c>
      <c r="O116" s="18">
        <f t="shared" si="125"/>
        <v>1654005</v>
      </c>
      <c r="P116" s="18">
        <f t="shared" si="74"/>
        <v>992.4</v>
      </c>
      <c r="Q116" s="18">
        <f t="shared" si="75"/>
        <v>5494</v>
      </c>
      <c r="R116" s="2" t="s">
        <v>368</v>
      </c>
      <c r="S116" s="4">
        <f t="shared" si="76"/>
        <v>160040068</v>
      </c>
      <c r="W116" s="4"/>
      <c r="X116" s="4"/>
      <c r="AD116" s="4" t="s">
        <v>369</v>
      </c>
      <c r="AE116" s="4">
        <v>160010037</v>
      </c>
    </row>
    <row r="117" s="2" customFormat="1" spans="1:31">
      <c r="A117" s="4">
        <v>115</v>
      </c>
      <c r="B117" s="5" t="s">
        <v>370</v>
      </c>
      <c r="C117" s="13" t="s">
        <v>283</v>
      </c>
      <c r="D117" s="24" t="s">
        <v>63</v>
      </c>
      <c r="E117" s="13">
        <v>30</v>
      </c>
      <c r="F117" s="5">
        <v>1</v>
      </c>
      <c r="G117" s="5">
        <v>1</v>
      </c>
      <c r="H117" s="6">
        <f t="shared" si="70"/>
        <v>1</v>
      </c>
      <c r="I117" s="4">
        <f t="shared" si="71"/>
        <v>29979</v>
      </c>
      <c r="J117" s="13">
        <f>ROUND(VLOOKUP(D117,[1]物品容器!$T$3:$U$8,2,FALSE)*M117,0)</f>
        <v>29979</v>
      </c>
      <c r="K117" s="18">
        <f t="shared" si="72"/>
        <v>29979</v>
      </c>
      <c r="L117" s="18">
        <f t="shared" ref="L117:O117" si="126">ROUND($I117*L$2,0)</f>
        <v>17987</v>
      </c>
      <c r="M117" s="19">
        <v>0.99931</v>
      </c>
      <c r="N117" s="18">
        <f t="shared" si="126"/>
        <v>4497</v>
      </c>
      <c r="O117" s="18">
        <f t="shared" si="126"/>
        <v>449685</v>
      </c>
      <c r="P117" s="18">
        <f t="shared" si="74"/>
        <v>269.805</v>
      </c>
      <c r="Q117" s="18">
        <f t="shared" si="75"/>
        <v>1494</v>
      </c>
      <c r="R117" s="2" t="s">
        <v>371</v>
      </c>
      <c r="S117" s="4">
        <f t="shared" si="76"/>
        <v>160040069</v>
      </c>
      <c r="W117" s="4"/>
      <c r="X117" s="4"/>
      <c r="AD117" s="4" t="s">
        <v>372</v>
      </c>
      <c r="AE117" s="4">
        <v>160010038</v>
      </c>
    </row>
    <row r="118" s="2" customFormat="1" spans="1:31">
      <c r="A118" s="4">
        <v>116</v>
      </c>
      <c r="B118" s="5" t="s">
        <v>373</v>
      </c>
      <c r="C118" s="13" t="s">
        <v>283</v>
      </c>
      <c r="D118" s="25" t="s">
        <v>76</v>
      </c>
      <c r="E118" s="13">
        <v>31</v>
      </c>
      <c r="F118" s="23">
        <v>1</v>
      </c>
      <c r="G118" s="23">
        <v>2</v>
      </c>
      <c r="H118" s="6">
        <f t="shared" si="70"/>
        <v>0.97</v>
      </c>
      <c r="I118" s="4">
        <f t="shared" si="71"/>
        <v>19255</v>
      </c>
      <c r="J118" s="13">
        <f>ROUND(VLOOKUP(D118,[1]物品容器!$T$3:$U$8,2,FALSE)*M118,0)</f>
        <v>9925</v>
      </c>
      <c r="K118" s="18">
        <f t="shared" si="72"/>
        <v>9627</v>
      </c>
      <c r="L118" s="18">
        <f t="shared" ref="L118:O118" si="127">ROUND($I118*L$2,0)</f>
        <v>11553</v>
      </c>
      <c r="M118" s="19">
        <v>0.99254</v>
      </c>
      <c r="N118" s="18">
        <f t="shared" si="127"/>
        <v>2888</v>
      </c>
      <c r="O118" s="18">
        <f t="shared" si="127"/>
        <v>288825</v>
      </c>
      <c r="P118" s="18">
        <f t="shared" si="74"/>
        <v>173.295</v>
      </c>
      <c r="Q118" s="18">
        <f t="shared" si="75"/>
        <v>959</v>
      </c>
      <c r="R118" s="2" t="s">
        <v>374</v>
      </c>
      <c r="S118" s="4">
        <f t="shared" si="76"/>
        <v>160040037</v>
      </c>
      <c r="W118" s="4"/>
      <c r="X118" s="4"/>
      <c r="AD118" s="4" t="s">
        <v>375</v>
      </c>
      <c r="AE118" s="4">
        <v>160010039</v>
      </c>
    </row>
    <row r="119" s="2" customFormat="1" spans="1:31">
      <c r="A119" s="4">
        <v>117</v>
      </c>
      <c r="B119" s="5" t="s">
        <v>376</v>
      </c>
      <c r="C119" s="13" t="s">
        <v>283</v>
      </c>
      <c r="D119" s="25" t="s">
        <v>76</v>
      </c>
      <c r="E119" s="13">
        <v>32</v>
      </c>
      <c r="F119" s="5">
        <v>2</v>
      </c>
      <c r="G119" s="5">
        <v>2</v>
      </c>
      <c r="H119" s="6">
        <f t="shared" si="70"/>
        <v>0.91</v>
      </c>
      <c r="I119" s="4">
        <f t="shared" si="71"/>
        <v>36575</v>
      </c>
      <c r="J119" s="13">
        <f>ROUND(VLOOKUP(D119,[1]物品容器!$T$3:$U$8,2,FALSE)*M119,0)</f>
        <v>10048</v>
      </c>
      <c r="K119" s="18">
        <f t="shared" si="72"/>
        <v>9144</v>
      </c>
      <c r="L119" s="18">
        <f t="shared" ref="L119:O119" si="128">ROUND($I119*L$2,0)</f>
        <v>21945</v>
      </c>
      <c r="M119" s="19">
        <v>1.00481</v>
      </c>
      <c r="N119" s="18">
        <f t="shared" si="128"/>
        <v>5486</v>
      </c>
      <c r="O119" s="18">
        <f t="shared" si="128"/>
        <v>548625</v>
      </c>
      <c r="P119" s="18">
        <f t="shared" si="74"/>
        <v>329.175</v>
      </c>
      <c r="Q119" s="18">
        <f t="shared" si="75"/>
        <v>1822</v>
      </c>
      <c r="R119" s="2" t="s">
        <v>377</v>
      </c>
      <c r="S119" s="4">
        <f t="shared" si="76"/>
        <v>160040038</v>
      </c>
      <c r="W119" s="4"/>
      <c r="X119" s="4"/>
      <c r="AD119" s="4" t="s">
        <v>378</v>
      </c>
      <c r="AE119" s="4">
        <v>160010040</v>
      </c>
    </row>
    <row r="120" s="2" customFormat="1" spans="1:31">
      <c r="A120" s="4">
        <v>118</v>
      </c>
      <c r="B120" s="5" t="s">
        <v>379</v>
      </c>
      <c r="C120" s="13" t="s">
        <v>283</v>
      </c>
      <c r="D120" s="25" t="s">
        <v>76</v>
      </c>
      <c r="E120" s="13">
        <v>33</v>
      </c>
      <c r="F120" s="5">
        <v>1</v>
      </c>
      <c r="G120" s="5">
        <v>2</v>
      </c>
      <c r="H120" s="6">
        <f t="shared" si="70"/>
        <v>0.97</v>
      </c>
      <c r="I120" s="4">
        <f t="shared" si="71"/>
        <v>19270</v>
      </c>
      <c r="J120" s="13">
        <f>ROUND(VLOOKUP(D120,[1]物品容器!$T$3:$U$8,2,FALSE)*M120,0)</f>
        <v>9933</v>
      </c>
      <c r="K120" s="18">
        <f t="shared" si="72"/>
        <v>9635</v>
      </c>
      <c r="L120" s="18">
        <f t="shared" ref="L120:O120" si="129">ROUND($I120*L$2,0)</f>
        <v>11562</v>
      </c>
      <c r="M120" s="19">
        <v>0.99327</v>
      </c>
      <c r="N120" s="18">
        <f t="shared" si="129"/>
        <v>2891</v>
      </c>
      <c r="O120" s="18">
        <f t="shared" si="129"/>
        <v>289050</v>
      </c>
      <c r="P120" s="18">
        <f t="shared" si="74"/>
        <v>173.43</v>
      </c>
      <c r="Q120" s="18">
        <f t="shared" si="75"/>
        <v>960</v>
      </c>
      <c r="R120" s="2" t="s">
        <v>380</v>
      </c>
      <c r="S120" s="4">
        <f t="shared" si="76"/>
        <v>160040039</v>
      </c>
      <c r="W120" s="4"/>
      <c r="X120" s="4"/>
      <c r="AD120" s="4" t="s">
        <v>381</v>
      </c>
      <c r="AE120" s="4">
        <v>160010041</v>
      </c>
    </row>
    <row r="121" s="2" customFormat="1" spans="1:31">
      <c r="A121" s="4">
        <v>119</v>
      </c>
      <c r="B121" s="5" t="s">
        <v>382</v>
      </c>
      <c r="C121" s="13" t="s">
        <v>283</v>
      </c>
      <c r="D121" s="25" t="s">
        <v>76</v>
      </c>
      <c r="E121" s="13">
        <v>34</v>
      </c>
      <c r="F121" s="5">
        <v>2</v>
      </c>
      <c r="G121" s="5">
        <v>1</v>
      </c>
      <c r="H121" s="6">
        <f t="shared" si="70"/>
        <v>0.97</v>
      </c>
      <c r="I121" s="4">
        <f t="shared" si="71"/>
        <v>19580</v>
      </c>
      <c r="J121" s="13">
        <f>ROUND(VLOOKUP(D121,[1]物品容器!$T$3:$U$8,2,FALSE)*M121,0)</f>
        <v>10093</v>
      </c>
      <c r="K121" s="18">
        <f t="shared" si="72"/>
        <v>9790</v>
      </c>
      <c r="L121" s="18">
        <f t="shared" ref="L121:O121" si="130">ROUND($I121*L$2,0)</f>
        <v>11748</v>
      </c>
      <c r="M121" s="19">
        <v>1.00933</v>
      </c>
      <c r="N121" s="18">
        <f t="shared" si="130"/>
        <v>2937</v>
      </c>
      <c r="O121" s="18">
        <f t="shared" si="130"/>
        <v>293700</v>
      </c>
      <c r="P121" s="18">
        <f t="shared" si="74"/>
        <v>176.22</v>
      </c>
      <c r="Q121" s="18">
        <f t="shared" si="75"/>
        <v>976</v>
      </c>
      <c r="R121" s="2" t="s">
        <v>383</v>
      </c>
      <c r="S121" s="4">
        <f t="shared" si="76"/>
        <v>160040040</v>
      </c>
      <c r="W121" s="4"/>
      <c r="X121" s="4"/>
      <c r="AD121" s="4" t="s">
        <v>384</v>
      </c>
      <c r="AE121" s="4">
        <v>160010042</v>
      </c>
    </row>
    <row r="122" s="2" customFormat="1" spans="1:31">
      <c r="A122" s="4">
        <v>120</v>
      </c>
      <c r="B122" s="5" t="s">
        <v>385</v>
      </c>
      <c r="C122" s="13" t="s">
        <v>283</v>
      </c>
      <c r="D122" s="25" t="s">
        <v>76</v>
      </c>
      <c r="E122" s="13">
        <v>35</v>
      </c>
      <c r="F122" s="23">
        <v>1</v>
      </c>
      <c r="G122" s="5">
        <v>1</v>
      </c>
      <c r="H122" s="6">
        <f t="shared" si="70"/>
        <v>1</v>
      </c>
      <c r="I122" s="4">
        <f t="shared" si="71"/>
        <v>10024</v>
      </c>
      <c r="J122" s="13">
        <f>ROUND(VLOOKUP(D122,[1]物品容器!$T$3:$U$8,2,FALSE)*M122,0)</f>
        <v>10024</v>
      </c>
      <c r="K122" s="18">
        <f t="shared" si="72"/>
        <v>10024</v>
      </c>
      <c r="L122" s="18">
        <f t="shared" ref="L122:O122" si="131">ROUND($I122*L$2,0)</f>
        <v>6014</v>
      </c>
      <c r="M122" s="19">
        <v>1.00238</v>
      </c>
      <c r="N122" s="18">
        <f t="shared" si="131"/>
        <v>1504</v>
      </c>
      <c r="O122" s="18">
        <f t="shared" si="131"/>
        <v>150360</v>
      </c>
      <c r="P122" s="18">
        <f t="shared" si="74"/>
        <v>90.21</v>
      </c>
      <c r="Q122" s="18">
        <f t="shared" si="75"/>
        <v>499</v>
      </c>
      <c r="R122" s="2" t="s">
        <v>386</v>
      </c>
      <c r="S122" s="4">
        <f t="shared" si="76"/>
        <v>160040041</v>
      </c>
      <c r="W122" s="4"/>
      <c r="X122" s="4"/>
      <c r="AD122" s="4" t="s">
        <v>387</v>
      </c>
      <c r="AE122" s="4">
        <v>160010043</v>
      </c>
    </row>
    <row r="123" s="2" customFormat="1" spans="1:31">
      <c r="A123" s="4">
        <v>121</v>
      </c>
      <c r="B123" s="5" t="s">
        <v>388</v>
      </c>
      <c r="C123" s="13" t="s">
        <v>283</v>
      </c>
      <c r="D123" s="25" t="s">
        <v>76</v>
      </c>
      <c r="E123" s="13">
        <v>36</v>
      </c>
      <c r="F123" s="5">
        <v>2</v>
      </c>
      <c r="G123" s="5">
        <v>2</v>
      </c>
      <c r="H123" s="6">
        <f t="shared" si="70"/>
        <v>0.91</v>
      </c>
      <c r="I123" s="4">
        <f t="shared" si="71"/>
        <v>36214</v>
      </c>
      <c r="J123" s="13">
        <f>ROUND(VLOOKUP(D123,[1]物品容器!$T$3:$U$8,2,FALSE)*M123,0)</f>
        <v>9949</v>
      </c>
      <c r="K123" s="18">
        <f t="shared" si="72"/>
        <v>9054</v>
      </c>
      <c r="L123" s="18">
        <f t="shared" ref="L123:O123" si="132">ROUND($I123*L$2,0)</f>
        <v>21728</v>
      </c>
      <c r="M123" s="19">
        <v>0.99491</v>
      </c>
      <c r="N123" s="18">
        <f t="shared" si="132"/>
        <v>5432</v>
      </c>
      <c r="O123" s="18">
        <f t="shared" si="132"/>
        <v>543210</v>
      </c>
      <c r="P123" s="18">
        <f t="shared" si="74"/>
        <v>325.92</v>
      </c>
      <c r="Q123" s="18">
        <f t="shared" si="75"/>
        <v>1805</v>
      </c>
      <c r="R123" s="2" t="s">
        <v>389</v>
      </c>
      <c r="S123" s="4">
        <f t="shared" si="76"/>
        <v>160040042</v>
      </c>
      <c r="W123" s="4"/>
      <c r="X123" s="4"/>
      <c r="AD123" s="4" t="s">
        <v>390</v>
      </c>
      <c r="AE123" s="4">
        <v>160010044</v>
      </c>
    </row>
    <row r="124" s="2" customFormat="1" spans="1:31">
      <c r="A124" s="4">
        <v>122</v>
      </c>
      <c r="B124" s="5" t="s">
        <v>391</v>
      </c>
      <c r="C124" s="13" t="s">
        <v>283</v>
      </c>
      <c r="D124" s="25" t="s">
        <v>76</v>
      </c>
      <c r="E124" s="13">
        <v>37</v>
      </c>
      <c r="F124" s="5">
        <v>2</v>
      </c>
      <c r="G124" s="5">
        <v>2</v>
      </c>
      <c r="H124" s="6">
        <f t="shared" si="70"/>
        <v>0.91</v>
      </c>
      <c r="I124" s="4">
        <f t="shared" si="71"/>
        <v>36531</v>
      </c>
      <c r="J124" s="13">
        <f>ROUND(VLOOKUP(D124,[1]物品容器!$T$3:$U$8,2,FALSE)*M124,0)</f>
        <v>10036</v>
      </c>
      <c r="K124" s="18">
        <f t="shared" si="72"/>
        <v>9133</v>
      </c>
      <c r="L124" s="18">
        <f t="shared" ref="L124:O124" si="133">ROUND($I124*L$2,0)</f>
        <v>21919</v>
      </c>
      <c r="M124" s="19">
        <v>1.00359</v>
      </c>
      <c r="N124" s="18">
        <f t="shared" si="133"/>
        <v>5480</v>
      </c>
      <c r="O124" s="18">
        <f t="shared" si="133"/>
        <v>547965</v>
      </c>
      <c r="P124" s="18">
        <f t="shared" si="74"/>
        <v>328.785</v>
      </c>
      <c r="Q124" s="18">
        <f t="shared" si="75"/>
        <v>1820</v>
      </c>
      <c r="R124" s="2" t="s">
        <v>392</v>
      </c>
      <c r="S124" s="4">
        <f t="shared" si="76"/>
        <v>160040043</v>
      </c>
      <c r="W124" s="4"/>
      <c r="X124" s="4"/>
      <c r="AD124" s="4" t="s">
        <v>393</v>
      </c>
      <c r="AE124" s="4">
        <v>160010045</v>
      </c>
    </row>
    <row r="125" s="2" customFormat="1" spans="1:31">
      <c r="A125" s="4">
        <v>123</v>
      </c>
      <c r="B125" s="5" t="s">
        <v>394</v>
      </c>
      <c r="C125" s="13" t="s">
        <v>283</v>
      </c>
      <c r="D125" s="25" t="s">
        <v>76</v>
      </c>
      <c r="E125" s="13">
        <v>39</v>
      </c>
      <c r="F125" s="5">
        <v>1</v>
      </c>
      <c r="G125" s="5">
        <v>2</v>
      </c>
      <c r="H125" s="6">
        <f t="shared" si="70"/>
        <v>0.97</v>
      </c>
      <c r="I125" s="4">
        <f t="shared" si="71"/>
        <v>19235</v>
      </c>
      <c r="J125" s="13">
        <f>ROUND(VLOOKUP(D125,[1]物品容器!$T$3:$U$8,2,FALSE)*M125,0)</f>
        <v>9915</v>
      </c>
      <c r="K125" s="18">
        <f t="shared" si="72"/>
        <v>9618</v>
      </c>
      <c r="L125" s="18">
        <f t="shared" ref="L125:O125" si="134">ROUND($I125*L$2,0)</f>
        <v>11541</v>
      </c>
      <c r="M125" s="19">
        <v>0.99147</v>
      </c>
      <c r="N125" s="18">
        <f t="shared" si="134"/>
        <v>2885</v>
      </c>
      <c r="O125" s="18">
        <f t="shared" si="134"/>
        <v>288525</v>
      </c>
      <c r="P125" s="18">
        <f t="shared" si="74"/>
        <v>173.115</v>
      </c>
      <c r="Q125" s="18">
        <f t="shared" si="75"/>
        <v>958</v>
      </c>
      <c r="R125" s="2" t="s">
        <v>395</v>
      </c>
      <c r="S125" s="4">
        <f t="shared" si="76"/>
        <v>160040052</v>
      </c>
      <c r="W125" s="4"/>
      <c r="X125" s="4"/>
      <c r="AD125" s="4" t="s">
        <v>396</v>
      </c>
      <c r="AE125" s="4">
        <v>160010047</v>
      </c>
    </row>
    <row r="126" s="2" customFormat="1" spans="1:31">
      <c r="A126" s="4">
        <v>124</v>
      </c>
      <c r="B126" s="5" t="s">
        <v>397</v>
      </c>
      <c r="C126" s="13" t="s">
        <v>283</v>
      </c>
      <c r="D126" s="25" t="s">
        <v>76</v>
      </c>
      <c r="E126" s="13">
        <v>40</v>
      </c>
      <c r="F126" s="23">
        <v>2</v>
      </c>
      <c r="G126" s="23">
        <v>2</v>
      </c>
      <c r="H126" s="6">
        <f t="shared" si="70"/>
        <v>0.91</v>
      </c>
      <c r="I126" s="4">
        <f t="shared" si="71"/>
        <v>36127</v>
      </c>
      <c r="J126" s="13">
        <f>ROUND(VLOOKUP(D126,[1]物品容器!$T$3:$U$8,2,FALSE)*M126,0)</f>
        <v>9925</v>
      </c>
      <c r="K126" s="18">
        <f t="shared" si="72"/>
        <v>9032</v>
      </c>
      <c r="L126" s="18">
        <f t="shared" ref="L126:O126" si="135">ROUND($I126*L$2,0)</f>
        <v>21676</v>
      </c>
      <c r="M126" s="19">
        <v>0.99254</v>
      </c>
      <c r="N126" s="18">
        <f t="shared" si="135"/>
        <v>5419</v>
      </c>
      <c r="O126" s="18">
        <f t="shared" si="135"/>
        <v>541905</v>
      </c>
      <c r="P126" s="18">
        <f t="shared" si="74"/>
        <v>325.14</v>
      </c>
      <c r="Q126" s="18">
        <f t="shared" si="75"/>
        <v>1800</v>
      </c>
      <c r="R126" s="2" t="s">
        <v>398</v>
      </c>
      <c r="S126" s="4">
        <f t="shared" si="76"/>
        <v>160040035</v>
      </c>
      <c r="W126" s="4"/>
      <c r="X126" s="4"/>
      <c r="AD126" s="4" t="s">
        <v>399</v>
      </c>
      <c r="AE126" s="4">
        <v>160010048</v>
      </c>
    </row>
    <row r="127" s="2" customFormat="1" spans="1:31">
      <c r="A127" s="4">
        <v>125</v>
      </c>
      <c r="B127" s="5" t="s">
        <v>400</v>
      </c>
      <c r="C127" s="13" t="s">
        <v>283</v>
      </c>
      <c r="D127" s="25" t="s">
        <v>76</v>
      </c>
      <c r="E127" s="13">
        <v>41</v>
      </c>
      <c r="F127" s="5">
        <v>2</v>
      </c>
      <c r="G127" s="5">
        <v>1</v>
      </c>
      <c r="H127" s="6">
        <f t="shared" si="70"/>
        <v>0.97</v>
      </c>
      <c r="I127" s="4">
        <f t="shared" si="71"/>
        <v>19359</v>
      </c>
      <c r="J127" s="13">
        <f>ROUND(VLOOKUP(D127,[1]物品容器!$T$3:$U$8,2,FALSE)*M127,0)</f>
        <v>9979</v>
      </c>
      <c r="K127" s="18">
        <f t="shared" si="72"/>
        <v>9680</v>
      </c>
      <c r="L127" s="18">
        <f t="shared" ref="L127:O127" si="136">ROUND($I127*L$2,0)</f>
        <v>11615</v>
      </c>
      <c r="M127" s="19">
        <v>0.99791</v>
      </c>
      <c r="N127" s="18">
        <f t="shared" si="136"/>
        <v>2904</v>
      </c>
      <c r="O127" s="18">
        <f t="shared" si="136"/>
        <v>290385</v>
      </c>
      <c r="P127" s="18">
        <f t="shared" si="74"/>
        <v>174.225</v>
      </c>
      <c r="Q127" s="18">
        <f t="shared" si="75"/>
        <v>965</v>
      </c>
      <c r="R127" s="2" t="s">
        <v>401</v>
      </c>
      <c r="S127" s="4">
        <f t="shared" si="76"/>
        <v>160040044</v>
      </c>
      <c r="W127" s="4"/>
      <c r="X127" s="4"/>
      <c r="AD127" s="4" t="s">
        <v>402</v>
      </c>
      <c r="AE127" s="4">
        <v>160010049</v>
      </c>
    </row>
    <row r="128" s="2" customFormat="1" spans="1:31">
      <c r="A128" s="4">
        <v>126</v>
      </c>
      <c r="B128" s="5" t="s">
        <v>403</v>
      </c>
      <c r="C128" s="13" t="s">
        <v>283</v>
      </c>
      <c r="D128" s="25" t="s">
        <v>76</v>
      </c>
      <c r="E128" s="13">
        <v>42</v>
      </c>
      <c r="F128" s="5">
        <v>1</v>
      </c>
      <c r="G128" s="5">
        <v>1</v>
      </c>
      <c r="H128" s="6">
        <f t="shared" si="70"/>
        <v>1</v>
      </c>
      <c r="I128" s="4">
        <f t="shared" si="71"/>
        <v>10095</v>
      </c>
      <c r="J128" s="13">
        <f>ROUND(VLOOKUP(D128,[1]物品容器!$T$3:$U$8,2,FALSE)*M128,0)</f>
        <v>10095</v>
      </c>
      <c r="K128" s="18">
        <f t="shared" si="72"/>
        <v>10095</v>
      </c>
      <c r="L128" s="18">
        <f t="shared" ref="L128:O128" si="137">ROUND($I128*L$2,0)</f>
        <v>6057</v>
      </c>
      <c r="M128" s="19">
        <v>1.00951</v>
      </c>
      <c r="N128" s="18">
        <f t="shared" si="137"/>
        <v>1514</v>
      </c>
      <c r="O128" s="18">
        <f t="shared" si="137"/>
        <v>151425</v>
      </c>
      <c r="P128" s="18">
        <f t="shared" si="74"/>
        <v>90.855</v>
      </c>
      <c r="Q128" s="18">
        <f t="shared" si="75"/>
        <v>503</v>
      </c>
      <c r="R128" s="2" t="s">
        <v>404</v>
      </c>
      <c r="S128" s="4">
        <f t="shared" si="76"/>
        <v>160040045</v>
      </c>
      <c r="W128" s="4"/>
      <c r="X128" s="4"/>
      <c r="AD128" s="4" t="s">
        <v>405</v>
      </c>
      <c r="AE128" s="4">
        <v>160010050</v>
      </c>
    </row>
    <row r="129" s="2" customFormat="1" spans="1:31">
      <c r="A129" s="4">
        <v>127</v>
      </c>
      <c r="B129" s="5" t="s">
        <v>406</v>
      </c>
      <c r="C129" s="13" t="s">
        <v>283</v>
      </c>
      <c r="D129" s="25" t="s">
        <v>76</v>
      </c>
      <c r="E129" s="13">
        <v>43</v>
      </c>
      <c r="F129" s="23">
        <v>1</v>
      </c>
      <c r="G129" s="5">
        <v>1</v>
      </c>
      <c r="H129" s="6">
        <f t="shared" si="70"/>
        <v>1</v>
      </c>
      <c r="I129" s="4">
        <f t="shared" si="71"/>
        <v>10012</v>
      </c>
      <c r="J129" s="13">
        <f>ROUND(VLOOKUP(D129,[1]物品容器!$T$3:$U$8,2,FALSE)*M129,0)</f>
        <v>10012</v>
      </c>
      <c r="K129" s="18">
        <f t="shared" si="72"/>
        <v>10012</v>
      </c>
      <c r="L129" s="18">
        <f t="shared" ref="L129:O129" si="138">ROUND($I129*L$2,0)</f>
        <v>6007</v>
      </c>
      <c r="M129" s="19">
        <v>1.00122</v>
      </c>
      <c r="N129" s="18">
        <f t="shared" si="138"/>
        <v>1502</v>
      </c>
      <c r="O129" s="18">
        <f t="shared" si="138"/>
        <v>150180</v>
      </c>
      <c r="P129" s="18">
        <f t="shared" si="74"/>
        <v>90.105</v>
      </c>
      <c r="Q129" s="18">
        <f t="shared" si="75"/>
        <v>499</v>
      </c>
      <c r="R129" s="2" t="s">
        <v>407</v>
      </c>
      <c r="S129" s="4">
        <f t="shared" si="76"/>
        <v>160040036</v>
      </c>
      <c r="W129" s="4"/>
      <c r="X129" s="4"/>
      <c r="AD129" s="4" t="s">
        <v>408</v>
      </c>
      <c r="AE129" s="4">
        <v>160010051</v>
      </c>
    </row>
    <row r="130" s="2" customFormat="1" spans="1:31">
      <c r="A130" s="4">
        <v>128</v>
      </c>
      <c r="B130" s="5" t="s">
        <v>409</v>
      </c>
      <c r="C130" s="13" t="s">
        <v>283</v>
      </c>
      <c r="D130" s="25" t="s">
        <v>76</v>
      </c>
      <c r="E130" s="13">
        <v>44</v>
      </c>
      <c r="F130" s="5">
        <v>1</v>
      </c>
      <c r="G130" s="5">
        <v>1</v>
      </c>
      <c r="H130" s="6">
        <f t="shared" si="70"/>
        <v>1</v>
      </c>
      <c r="I130" s="4">
        <f t="shared" si="71"/>
        <v>9950</v>
      </c>
      <c r="J130" s="13">
        <f>ROUND(VLOOKUP(D130,[1]物品容器!$T$3:$U$8,2,FALSE)*M130,0)</f>
        <v>9950</v>
      </c>
      <c r="K130" s="18">
        <f t="shared" si="72"/>
        <v>9950</v>
      </c>
      <c r="L130" s="18">
        <f t="shared" ref="L130:O130" si="139">ROUND($I130*L$2,0)</f>
        <v>5970</v>
      </c>
      <c r="M130" s="19">
        <v>0.99497</v>
      </c>
      <c r="N130" s="18">
        <f t="shared" si="139"/>
        <v>1493</v>
      </c>
      <c r="O130" s="18">
        <f t="shared" si="139"/>
        <v>149250</v>
      </c>
      <c r="P130" s="18">
        <f t="shared" si="74"/>
        <v>89.55</v>
      </c>
      <c r="Q130" s="18">
        <f t="shared" si="75"/>
        <v>496</v>
      </c>
      <c r="R130" s="2" t="s">
        <v>410</v>
      </c>
      <c r="S130" s="4">
        <f t="shared" si="76"/>
        <v>160040047</v>
      </c>
      <c r="W130" s="4"/>
      <c r="X130" s="4"/>
      <c r="AD130" s="4" t="s">
        <v>411</v>
      </c>
      <c r="AE130" s="4">
        <v>160010052</v>
      </c>
    </row>
    <row r="131" s="2" customFormat="1" spans="1:31">
      <c r="A131" s="4">
        <v>129</v>
      </c>
      <c r="B131" s="5" t="s">
        <v>412</v>
      </c>
      <c r="C131" s="13" t="s">
        <v>283</v>
      </c>
      <c r="D131" s="25" t="s">
        <v>76</v>
      </c>
      <c r="E131" s="13">
        <v>45</v>
      </c>
      <c r="F131" s="5">
        <v>1</v>
      </c>
      <c r="G131" s="5">
        <v>2</v>
      </c>
      <c r="H131" s="6">
        <f t="shared" ref="H131:H194" si="140">VLOOKUP(F131*G131,$T$3:$U$11,2,FALSE)</f>
        <v>0.97</v>
      </c>
      <c r="I131" s="4">
        <f t="shared" ref="I131:I194" si="141">ROUND(F131*G131*J131*H131,0)</f>
        <v>19227</v>
      </c>
      <c r="J131" s="13">
        <f>ROUND(VLOOKUP(D131,[1]物品容器!$T$3:$U$8,2,FALSE)*M131,0)</f>
        <v>9911</v>
      </c>
      <c r="K131" s="18">
        <f t="shared" ref="K131:K194" si="142">ROUND(J131*H131,0)</f>
        <v>9614</v>
      </c>
      <c r="L131" s="18">
        <f t="shared" ref="L131:O131" si="143">ROUND($I131*L$2,0)</f>
        <v>11536</v>
      </c>
      <c r="M131" s="19">
        <v>0.99111</v>
      </c>
      <c r="N131" s="18">
        <f t="shared" si="143"/>
        <v>2884</v>
      </c>
      <c r="O131" s="18">
        <f t="shared" si="143"/>
        <v>288405</v>
      </c>
      <c r="P131" s="18">
        <f t="shared" ref="P131:P194" si="144">L131*1.5%</f>
        <v>173.04</v>
      </c>
      <c r="Q131" s="18">
        <f t="shared" ref="Q131:Q194" si="145">ROUND((O131-N131)*$Q$2,0)</f>
        <v>958</v>
      </c>
      <c r="R131" s="2" t="s">
        <v>413</v>
      </c>
      <c r="S131" s="4">
        <f t="shared" ref="S131:S194" si="146">VLOOKUP(B131,$AD:$AE,2,FALSE)</f>
        <v>160040046</v>
      </c>
      <c r="W131" s="4"/>
      <c r="X131" s="4"/>
      <c r="AD131" s="4" t="s">
        <v>414</v>
      </c>
      <c r="AE131" s="4">
        <v>160010053</v>
      </c>
    </row>
    <row r="132" s="2" customFormat="1" spans="1:31">
      <c r="A132" s="4">
        <v>130</v>
      </c>
      <c r="B132" s="5" t="s">
        <v>415</v>
      </c>
      <c r="C132" s="13" t="s">
        <v>283</v>
      </c>
      <c r="D132" s="25" t="s">
        <v>76</v>
      </c>
      <c r="E132" s="13">
        <v>46</v>
      </c>
      <c r="F132" s="5">
        <v>1</v>
      </c>
      <c r="G132" s="5">
        <v>1</v>
      </c>
      <c r="H132" s="6">
        <f t="shared" si="140"/>
        <v>1</v>
      </c>
      <c r="I132" s="4">
        <f t="shared" si="141"/>
        <v>10014</v>
      </c>
      <c r="J132" s="13">
        <f>ROUND(VLOOKUP(D132,[1]物品容器!$T$3:$U$8,2,FALSE)*M132,0)</f>
        <v>10014</v>
      </c>
      <c r="K132" s="18">
        <f t="shared" si="142"/>
        <v>10014</v>
      </c>
      <c r="L132" s="18">
        <f t="shared" ref="L132:O132" si="147">ROUND($I132*L$2,0)</f>
        <v>6008</v>
      </c>
      <c r="M132" s="19">
        <v>1.00141</v>
      </c>
      <c r="N132" s="18">
        <f t="shared" si="147"/>
        <v>1502</v>
      </c>
      <c r="O132" s="18">
        <f t="shared" si="147"/>
        <v>150210</v>
      </c>
      <c r="P132" s="18">
        <f t="shared" si="144"/>
        <v>90.12</v>
      </c>
      <c r="Q132" s="18">
        <f t="shared" si="145"/>
        <v>499</v>
      </c>
      <c r="R132" s="2" t="s">
        <v>416</v>
      </c>
      <c r="S132" s="4">
        <f t="shared" si="146"/>
        <v>160040048</v>
      </c>
      <c r="W132" s="4"/>
      <c r="X132" s="4"/>
      <c r="AD132" s="4" t="s">
        <v>417</v>
      </c>
      <c r="AE132" s="4">
        <v>160010054</v>
      </c>
    </row>
    <row r="133" s="2" customFormat="1" spans="1:31">
      <c r="A133" s="4">
        <v>131</v>
      </c>
      <c r="B133" s="5" t="s">
        <v>418</v>
      </c>
      <c r="C133" s="13" t="s">
        <v>283</v>
      </c>
      <c r="D133" s="25" t="s">
        <v>76</v>
      </c>
      <c r="E133" s="13">
        <v>47</v>
      </c>
      <c r="F133" s="5">
        <v>1</v>
      </c>
      <c r="G133" s="5">
        <v>1</v>
      </c>
      <c r="H133" s="6">
        <f t="shared" si="140"/>
        <v>1</v>
      </c>
      <c r="I133" s="4">
        <f t="shared" si="141"/>
        <v>9934</v>
      </c>
      <c r="J133" s="13">
        <f>ROUND(VLOOKUP(D133,[1]物品容器!$T$3:$U$8,2,FALSE)*M133,0)</f>
        <v>9934</v>
      </c>
      <c r="K133" s="18">
        <f t="shared" si="142"/>
        <v>9934</v>
      </c>
      <c r="L133" s="18">
        <f t="shared" ref="L133:O133" si="148">ROUND($I133*L$2,0)</f>
        <v>5960</v>
      </c>
      <c r="M133" s="19">
        <v>0.99337</v>
      </c>
      <c r="N133" s="18">
        <f t="shared" si="148"/>
        <v>1490</v>
      </c>
      <c r="O133" s="18">
        <f t="shared" si="148"/>
        <v>149010</v>
      </c>
      <c r="P133" s="18">
        <f t="shared" si="144"/>
        <v>89.4</v>
      </c>
      <c r="Q133" s="18">
        <f t="shared" si="145"/>
        <v>495</v>
      </c>
      <c r="R133" s="2" t="s">
        <v>419</v>
      </c>
      <c r="S133" s="4">
        <f t="shared" si="146"/>
        <v>160040049</v>
      </c>
      <c r="W133" s="4"/>
      <c r="X133" s="4"/>
      <c r="AD133" s="4" t="s">
        <v>115</v>
      </c>
      <c r="AE133" s="4">
        <v>160020001</v>
      </c>
    </row>
    <row r="134" s="2" customFormat="1" spans="1:31">
      <c r="A134" s="4">
        <v>132</v>
      </c>
      <c r="B134" s="5" t="s">
        <v>420</v>
      </c>
      <c r="C134" s="13" t="s">
        <v>283</v>
      </c>
      <c r="D134" s="25" t="s">
        <v>76</v>
      </c>
      <c r="E134" s="13">
        <v>48</v>
      </c>
      <c r="F134" s="5">
        <v>1</v>
      </c>
      <c r="G134" s="5">
        <v>1</v>
      </c>
      <c r="H134" s="6">
        <f t="shared" si="140"/>
        <v>1</v>
      </c>
      <c r="I134" s="4">
        <f t="shared" si="141"/>
        <v>9984</v>
      </c>
      <c r="J134" s="13">
        <f>ROUND(VLOOKUP(D134,[1]物品容器!$T$3:$U$8,2,FALSE)*M134,0)</f>
        <v>9984</v>
      </c>
      <c r="K134" s="18">
        <f t="shared" si="142"/>
        <v>9984</v>
      </c>
      <c r="L134" s="18">
        <f t="shared" ref="L134:O134" si="149">ROUND($I134*L$2,0)</f>
        <v>5990</v>
      </c>
      <c r="M134" s="19">
        <v>0.99839</v>
      </c>
      <c r="N134" s="18">
        <f t="shared" si="149"/>
        <v>1498</v>
      </c>
      <c r="O134" s="18">
        <f t="shared" si="149"/>
        <v>149760</v>
      </c>
      <c r="P134" s="18">
        <f t="shared" si="144"/>
        <v>89.85</v>
      </c>
      <c r="Q134" s="18">
        <f t="shared" si="145"/>
        <v>497</v>
      </c>
      <c r="R134" s="2" t="s">
        <v>421</v>
      </c>
      <c r="S134" s="4">
        <f t="shared" si="146"/>
        <v>160040051</v>
      </c>
      <c r="W134" s="4"/>
      <c r="X134" s="4"/>
      <c r="AD134" s="4" t="s">
        <v>119</v>
      </c>
      <c r="AE134" s="4">
        <v>160020002</v>
      </c>
    </row>
    <row r="135" s="2" customFormat="1" spans="1:31">
      <c r="A135" s="4">
        <v>133</v>
      </c>
      <c r="B135" s="5" t="s">
        <v>422</v>
      </c>
      <c r="C135" s="13" t="s">
        <v>283</v>
      </c>
      <c r="D135" s="25" t="s">
        <v>76</v>
      </c>
      <c r="E135" s="13">
        <v>49</v>
      </c>
      <c r="F135" s="5">
        <v>1</v>
      </c>
      <c r="G135" s="5">
        <v>1</v>
      </c>
      <c r="H135" s="6">
        <f t="shared" si="140"/>
        <v>1</v>
      </c>
      <c r="I135" s="4">
        <f t="shared" si="141"/>
        <v>10083</v>
      </c>
      <c r="J135" s="13">
        <f>ROUND(VLOOKUP(D135,[1]物品容器!$T$3:$U$8,2,FALSE)*M135,0)</f>
        <v>10083</v>
      </c>
      <c r="K135" s="18">
        <f t="shared" si="142"/>
        <v>10083</v>
      </c>
      <c r="L135" s="18">
        <f t="shared" ref="L135:O135" si="150">ROUND($I135*L$2,0)</f>
        <v>6050</v>
      </c>
      <c r="M135" s="19">
        <v>1.00829</v>
      </c>
      <c r="N135" s="18">
        <f t="shared" si="150"/>
        <v>1512</v>
      </c>
      <c r="O135" s="18">
        <f t="shared" si="150"/>
        <v>151245</v>
      </c>
      <c r="P135" s="18">
        <f t="shared" si="144"/>
        <v>90.75</v>
      </c>
      <c r="Q135" s="18">
        <f t="shared" si="145"/>
        <v>502</v>
      </c>
      <c r="R135" s="2" t="s">
        <v>423</v>
      </c>
      <c r="S135" s="4">
        <f t="shared" si="146"/>
        <v>160040050</v>
      </c>
      <c r="W135" s="4"/>
      <c r="X135" s="4"/>
      <c r="AD135" s="4" t="s">
        <v>122</v>
      </c>
      <c r="AE135" s="4">
        <v>160020003</v>
      </c>
    </row>
    <row r="136" s="2" customFormat="1" spans="1:31">
      <c r="A136" s="4">
        <v>134</v>
      </c>
      <c r="B136" s="5" t="s">
        <v>424</v>
      </c>
      <c r="C136" s="13" t="s">
        <v>283</v>
      </c>
      <c r="D136" s="26" t="s">
        <v>94</v>
      </c>
      <c r="E136" s="13">
        <v>50</v>
      </c>
      <c r="F136" s="28">
        <v>1</v>
      </c>
      <c r="G136" s="28">
        <v>2</v>
      </c>
      <c r="H136" s="6">
        <f t="shared" si="140"/>
        <v>0.97</v>
      </c>
      <c r="I136" s="4">
        <f t="shared" si="141"/>
        <v>5797</v>
      </c>
      <c r="J136" s="13">
        <f>ROUND(VLOOKUP(D136,[1]物品容器!$T$3:$U$8,2,FALSE)*M136,0)</f>
        <v>2988</v>
      </c>
      <c r="K136" s="18">
        <f t="shared" si="142"/>
        <v>2898</v>
      </c>
      <c r="L136" s="18">
        <f t="shared" ref="L136:O136" si="151">ROUND($I136*L$2,0)</f>
        <v>3478</v>
      </c>
      <c r="M136" s="19">
        <v>0.99584</v>
      </c>
      <c r="N136" s="18">
        <f t="shared" si="151"/>
        <v>870</v>
      </c>
      <c r="O136" s="18">
        <f t="shared" si="151"/>
        <v>86955</v>
      </c>
      <c r="P136" s="18">
        <f t="shared" si="144"/>
        <v>52.17</v>
      </c>
      <c r="Q136" s="18">
        <f t="shared" si="145"/>
        <v>289</v>
      </c>
      <c r="R136" s="2" t="s">
        <v>425</v>
      </c>
      <c r="S136" s="4">
        <f t="shared" si="146"/>
        <v>160040020</v>
      </c>
      <c r="W136" s="4"/>
      <c r="X136" s="4"/>
      <c r="AD136" s="4" t="s">
        <v>426</v>
      </c>
      <c r="AE136" s="4">
        <v>160020004</v>
      </c>
    </row>
    <row r="137" s="2" customFormat="1" spans="1:31">
      <c r="A137" s="4">
        <v>135</v>
      </c>
      <c r="B137" s="5" t="s">
        <v>427</v>
      </c>
      <c r="C137" s="13" t="s">
        <v>283</v>
      </c>
      <c r="D137" s="26" t="s">
        <v>94</v>
      </c>
      <c r="E137" s="13">
        <v>51</v>
      </c>
      <c r="F137" s="5">
        <v>2</v>
      </c>
      <c r="G137" s="5">
        <v>1</v>
      </c>
      <c r="H137" s="6">
        <f t="shared" si="140"/>
        <v>0.97</v>
      </c>
      <c r="I137" s="4">
        <f t="shared" si="141"/>
        <v>5768</v>
      </c>
      <c r="J137" s="13">
        <f>ROUND(VLOOKUP(D137,[1]物品容器!$T$3:$U$8,2,FALSE)*M137,0)</f>
        <v>2973</v>
      </c>
      <c r="K137" s="18">
        <f t="shared" si="142"/>
        <v>2884</v>
      </c>
      <c r="L137" s="18">
        <f t="shared" ref="L137:O137" si="152">ROUND($I137*L$2,0)</f>
        <v>3461</v>
      </c>
      <c r="M137" s="19">
        <v>0.991</v>
      </c>
      <c r="N137" s="18">
        <f t="shared" si="152"/>
        <v>865</v>
      </c>
      <c r="O137" s="18">
        <f t="shared" si="152"/>
        <v>86520</v>
      </c>
      <c r="P137" s="18">
        <f t="shared" si="144"/>
        <v>51.915</v>
      </c>
      <c r="Q137" s="18">
        <f t="shared" si="145"/>
        <v>287</v>
      </c>
      <c r="R137" s="2" t="s">
        <v>428</v>
      </c>
      <c r="S137" s="4">
        <f t="shared" si="146"/>
        <v>160040021</v>
      </c>
      <c r="W137" s="4"/>
      <c r="X137" s="4"/>
      <c r="AD137" s="4" t="s">
        <v>429</v>
      </c>
      <c r="AE137" s="4">
        <v>160020005</v>
      </c>
    </row>
    <row r="138" s="2" customFormat="1" spans="1:31">
      <c r="A138" s="4">
        <v>136</v>
      </c>
      <c r="B138" s="5" t="s">
        <v>430</v>
      </c>
      <c r="C138" s="13" t="s">
        <v>283</v>
      </c>
      <c r="D138" s="26" t="s">
        <v>94</v>
      </c>
      <c r="E138" s="13">
        <v>52</v>
      </c>
      <c r="F138" s="5">
        <v>1</v>
      </c>
      <c r="G138" s="5">
        <v>1</v>
      </c>
      <c r="H138" s="6">
        <f t="shared" si="140"/>
        <v>1</v>
      </c>
      <c r="I138" s="4">
        <f t="shared" si="141"/>
        <v>3028</v>
      </c>
      <c r="J138" s="13">
        <f>ROUND(VLOOKUP(D138,[1]物品容器!$T$3:$U$8,2,FALSE)*M138,0)</f>
        <v>3028</v>
      </c>
      <c r="K138" s="18">
        <f t="shared" si="142"/>
        <v>3028</v>
      </c>
      <c r="L138" s="18">
        <f t="shared" ref="L138:O138" si="153">ROUND($I138*L$2,0)</f>
        <v>1817</v>
      </c>
      <c r="M138" s="19">
        <v>1.00924</v>
      </c>
      <c r="N138" s="18">
        <f t="shared" si="153"/>
        <v>454</v>
      </c>
      <c r="O138" s="18">
        <f t="shared" si="153"/>
        <v>45420</v>
      </c>
      <c r="P138" s="18">
        <f t="shared" si="144"/>
        <v>27.255</v>
      </c>
      <c r="Q138" s="18">
        <f t="shared" si="145"/>
        <v>151</v>
      </c>
      <c r="R138" s="2" t="s">
        <v>431</v>
      </c>
      <c r="S138" s="4">
        <f t="shared" si="146"/>
        <v>160040022</v>
      </c>
      <c r="W138" s="4"/>
      <c r="X138" s="4"/>
      <c r="AD138" s="4" t="s">
        <v>432</v>
      </c>
      <c r="AE138" s="4">
        <v>160020006</v>
      </c>
    </row>
    <row r="139" s="2" customFormat="1" spans="1:31">
      <c r="A139" s="4">
        <v>137</v>
      </c>
      <c r="B139" s="5" t="s">
        <v>433</v>
      </c>
      <c r="C139" s="13" t="s">
        <v>283</v>
      </c>
      <c r="D139" s="26" t="s">
        <v>94</v>
      </c>
      <c r="E139" s="13">
        <v>53</v>
      </c>
      <c r="F139" s="5">
        <v>1</v>
      </c>
      <c r="G139" s="5">
        <v>2</v>
      </c>
      <c r="H139" s="6">
        <f t="shared" si="140"/>
        <v>0.97</v>
      </c>
      <c r="I139" s="4">
        <f t="shared" si="141"/>
        <v>5791</v>
      </c>
      <c r="J139" s="13">
        <f>ROUND(VLOOKUP(D139,[1]物品容器!$T$3:$U$8,2,FALSE)*M139,0)</f>
        <v>2985</v>
      </c>
      <c r="K139" s="18">
        <f t="shared" si="142"/>
        <v>2895</v>
      </c>
      <c r="L139" s="18">
        <f t="shared" ref="L139:O139" si="154">ROUND($I139*L$2,0)</f>
        <v>3475</v>
      </c>
      <c r="M139" s="19">
        <v>0.99486</v>
      </c>
      <c r="N139" s="18">
        <f t="shared" si="154"/>
        <v>869</v>
      </c>
      <c r="O139" s="18">
        <f t="shared" si="154"/>
        <v>86865</v>
      </c>
      <c r="P139" s="18">
        <f t="shared" si="144"/>
        <v>52.125</v>
      </c>
      <c r="Q139" s="18">
        <f t="shared" si="145"/>
        <v>289</v>
      </c>
      <c r="R139" s="2" t="s">
        <v>434</v>
      </c>
      <c r="S139" s="4">
        <f t="shared" si="146"/>
        <v>160040023</v>
      </c>
      <c r="W139" s="4"/>
      <c r="X139" s="4"/>
      <c r="AD139" s="4" t="s">
        <v>435</v>
      </c>
      <c r="AE139" s="4">
        <v>160020007</v>
      </c>
    </row>
    <row r="140" s="2" customFormat="1" spans="1:31">
      <c r="A140" s="4">
        <v>138</v>
      </c>
      <c r="B140" s="5" t="s">
        <v>436</v>
      </c>
      <c r="C140" s="13" t="s">
        <v>283</v>
      </c>
      <c r="D140" s="26" t="s">
        <v>94</v>
      </c>
      <c r="E140" s="13">
        <v>54</v>
      </c>
      <c r="F140" s="5">
        <v>1</v>
      </c>
      <c r="G140" s="5">
        <v>1</v>
      </c>
      <c r="H140" s="6">
        <f t="shared" si="140"/>
        <v>1</v>
      </c>
      <c r="I140" s="4">
        <f t="shared" si="141"/>
        <v>2974</v>
      </c>
      <c r="J140" s="13">
        <f>ROUND(VLOOKUP(D140,[1]物品容器!$T$3:$U$8,2,FALSE)*M140,0)</f>
        <v>2974</v>
      </c>
      <c r="K140" s="18">
        <f t="shared" si="142"/>
        <v>2974</v>
      </c>
      <c r="L140" s="18">
        <f t="shared" ref="L140:O140" si="155">ROUND($I140*L$2,0)</f>
        <v>1784</v>
      </c>
      <c r="M140" s="19">
        <v>0.99118</v>
      </c>
      <c r="N140" s="18">
        <f t="shared" si="155"/>
        <v>446</v>
      </c>
      <c r="O140" s="18">
        <f t="shared" si="155"/>
        <v>44610</v>
      </c>
      <c r="P140" s="18">
        <f t="shared" si="144"/>
        <v>26.76</v>
      </c>
      <c r="Q140" s="18">
        <f t="shared" si="145"/>
        <v>148</v>
      </c>
      <c r="R140" s="2" t="s">
        <v>437</v>
      </c>
      <c r="S140" s="4">
        <f t="shared" si="146"/>
        <v>160040024</v>
      </c>
      <c r="W140" s="4"/>
      <c r="X140" s="4"/>
      <c r="AD140" s="4" t="s">
        <v>438</v>
      </c>
      <c r="AE140" s="4">
        <v>160020008</v>
      </c>
    </row>
    <row r="141" s="2" customFormat="1" spans="1:31">
      <c r="A141" s="4">
        <v>139</v>
      </c>
      <c r="B141" s="5" t="s">
        <v>439</v>
      </c>
      <c r="C141" s="13" t="s">
        <v>283</v>
      </c>
      <c r="D141" s="26" t="s">
        <v>94</v>
      </c>
      <c r="E141" s="13">
        <v>55</v>
      </c>
      <c r="F141" s="28">
        <v>1</v>
      </c>
      <c r="G141" s="28">
        <v>2</v>
      </c>
      <c r="H141" s="6">
        <f t="shared" si="140"/>
        <v>0.97</v>
      </c>
      <c r="I141" s="4">
        <f t="shared" si="141"/>
        <v>5849</v>
      </c>
      <c r="J141" s="13">
        <f>ROUND(VLOOKUP(D141,[1]物品容器!$T$3:$U$8,2,FALSE)*M141,0)</f>
        <v>3015</v>
      </c>
      <c r="K141" s="18">
        <f t="shared" si="142"/>
        <v>2925</v>
      </c>
      <c r="L141" s="18">
        <f t="shared" ref="L141:O141" si="156">ROUND($I141*L$2,0)</f>
        <v>3509</v>
      </c>
      <c r="M141" s="19">
        <v>1.00492</v>
      </c>
      <c r="N141" s="18">
        <f t="shared" si="156"/>
        <v>877</v>
      </c>
      <c r="O141" s="18">
        <f t="shared" si="156"/>
        <v>87735</v>
      </c>
      <c r="P141" s="18">
        <f t="shared" si="144"/>
        <v>52.635</v>
      </c>
      <c r="Q141" s="18">
        <f t="shared" si="145"/>
        <v>291</v>
      </c>
      <c r="R141" s="2" t="s">
        <v>440</v>
      </c>
      <c r="S141" s="4">
        <f t="shared" si="146"/>
        <v>160040012</v>
      </c>
      <c r="W141" s="4"/>
      <c r="X141" s="4"/>
      <c r="AD141" s="4" t="s">
        <v>441</v>
      </c>
      <c r="AE141" s="4">
        <v>160020009</v>
      </c>
    </row>
    <row r="142" s="2" customFormat="1" spans="1:31">
      <c r="A142" s="4">
        <v>140</v>
      </c>
      <c r="B142" s="5" t="s">
        <v>442</v>
      </c>
      <c r="C142" s="13" t="s">
        <v>283</v>
      </c>
      <c r="D142" s="26" t="s">
        <v>94</v>
      </c>
      <c r="E142" s="13">
        <v>56</v>
      </c>
      <c r="F142" s="28">
        <v>1</v>
      </c>
      <c r="G142" s="28">
        <v>2</v>
      </c>
      <c r="H142" s="6">
        <f t="shared" si="140"/>
        <v>0.97</v>
      </c>
      <c r="I142" s="4">
        <f t="shared" si="141"/>
        <v>5816</v>
      </c>
      <c r="J142" s="13">
        <f>ROUND(VLOOKUP(D142,[1]物品容器!$T$3:$U$8,2,FALSE)*M142,0)</f>
        <v>2998</v>
      </c>
      <c r="K142" s="18">
        <f t="shared" si="142"/>
        <v>2908</v>
      </c>
      <c r="L142" s="18">
        <f t="shared" ref="L142:O142" si="157">ROUND($I142*L$2,0)</f>
        <v>3490</v>
      </c>
      <c r="M142" s="19">
        <v>0.99934</v>
      </c>
      <c r="N142" s="18">
        <f t="shared" si="157"/>
        <v>872</v>
      </c>
      <c r="O142" s="18">
        <f t="shared" si="157"/>
        <v>87240</v>
      </c>
      <c r="P142" s="18">
        <f t="shared" si="144"/>
        <v>52.35</v>
      </c>
      <c r="Q142" s="18">
        <f t="shared" si="145"/>
        <v>290</v>
      </c>
      <c r="R142" s="2" t="s">
        <v>443</v>
      </c>
      <c r="S142" s="4">
        <f t="shared" si="146"/>
        <v>160040013</v>
      </c>
      <c r="W142" s="4"/>
      <c r="X142" s="4"/>
      <c r="AD142" s="4" t="s">
        <v>444</v>
      </c>
      <c r="AE142" s="4">
        <v>160020010</v>
      </c>
    </row>
    <row r="143" s="2" customFormat="1" spans="1:31">
      <c r="A143" s="4">
        <v>141</v>
      </c>
      <c r="B143" s="5" t="s">
        <v>445</v>
      </c>
      <c r="C143" s="13" t="s">
        <v>283</v>
      </c>
      <c r="D143" s="26" t="s">
        <v>94</v>
      </c>
      <c r="E143" s="13">
        <v>57</v>
      </c>
      <c r="F143" s="5">
        <v>1</v>
      </c>
      <c r="G143" s="5">
        <v>1</v>
      </c>
      <c r="H143" s="6">
        <f t="shared" si="140"/>
        <v>1</v>
      </c>
      <c r="I143" s="4">
        <f t="shared" si="141"/>
        <v>2997</v>
      </c>
      <c r="J143" s="13">
        <f>ROUND(VLOOKUP(D143,[1]物品容器!$T$3:$U$8,2,FALSE)*M143,0)</f>
        <v>2997</v>
      </c>
      <c r="K143" s="18">
        <f t="shared" si="142"/>
        <v>2997</v>
      </c>
      <c r="L143" s="18">
        <f t="shared" ref="L143:O143" si="158">ROUND($I143*L$2,0)</f>
        <v>1798</v>
      </c>
      <c r="M143" s="19">
        <v>0.99908</v>
      </c>
      <c r="N143" s="18">
        <f t="shared" si="158"/>
        <v>450</v>
      </c>
      <c r="O143" s="18">
        <f t="shared" si="158"/>
        <v>44955</v>
      </c>
      <c r="P143" s="18">
        <f t="shared" si="144"/>
        <v>26.97</v>
      </c>
      <c r="Q143" s="18">
        <f t="shared" si="145"/>
        <v>149</v>
      </c>
      <c r="R143" s="2" t="s">
        <v>446</v>
      </c>
      <c r="S143" s="4">
        <f t="shared" si="146"/>
        <v>160040025</v>
      </c>
      <c r="W143" s="4"/>
      <c r="X143" s="4"/>
      <c r="AD143" s="4" t="s">
        <v>93</v>
      </c>
      <c r="AE143" s="4">
        <v>160020011</v>
      </c>
    </row>
    <row r="144" s="2" customFormat="1" spans="1:31">
      <c r="A144" s="4">
        <v>142</v>
      </c>
      <c r="B144" s="5" t="s">
        <v>447</v>
      </c>
      <c r="C144" s="13" t="s">
        <v>283</v>
      </c>
      <c r="D144" s="26" t="s">
        <v>94</v>
      </c>
      <c r="E144" s="13">
        <v>58</v>
      </c>
      <c r="F144" s="5">
        <v>1</v>
      </c>
      <c r="G144" s="5">
        <v>1</v>
      </c>
      <c r="H144" s="6">
        <f t="shared" si="140"/>
        <v>1</v>
      </c>
      <c r="I144" s="4">
        <f t="shared" si="141"/>
        <v>2985</v>
      </c>
      <c r="J144" s="13">
        <f>ROUND(VLOOKUP(D144,[1]物品容器!$T$3:$U$8,2,FALSE)*M144,0)</f>
        <v>2985</v>
      </c>
      <c r="K144" s="18">
        <f t="shared" si="142"/>
        <v>2985</v>
      </c>
      <c r="L144" s="18">
        <f t="shared" ref="L144:O144" si="159">ROUND($I144*L$2,0)</f>
        <v>1791</v>
      </c>
      <c r="M144" s="19">
        <v>0.99496</v>
      </c>
      <c r="N144" s="18">
        <f t="shared" si="159"/>
        <v>448</v>
      </c>
      <c r="O144" s="18">
        <f t="shared" si="159"/>
        <v>44775</v>
      </c>
      <c r="P144" s="18">
        <f t="shared" si="144"/>
        <v>26.865</v>
      </c>
      <c r="Q144" s="18">
        <f t="shared" si="145"/>
        <v>149</v>
      </c>
      <c r="R144" s="2" t="s">
        <v>448</v>
      </c>
      <c r="S144" s="4">
        <f t="shared" si="146"/>
        <v>160040014</v>
      </c>
      <c r="W144" s="4"/>
      <c r="X144" s="4"/>
      <c r="AD144" s="4" t="s">
        <v>97</v>
      </c>
      <c r="AE144" s="4">
        <v>160020012</v>
      </c>
    </row>
    <row r="145" s="2" customFormat="1" spans="1:31">
      <c r="A145" s="4">
        <v>143</v>
      </c>
      <c r="B145" s="5" t="s">
        <v>449</v>
      </c>
      <c r="C145" s="13" t="s">
        <v>283</v>
      </c>
      <c r="D145" s="26" t="s">
        <v>94</v>
      </c>
      <c r="E145" s="13">
        <v>59</v>
      </c>
      <c r="F145" s="5">
        <v>1</v>
      </c>
      <c r="G145" s="5">
        <v>1</v>
      </c>
      <c r="H145" s="6">
        <f t="shared" si="140"/>
        <v>1</v>
      </c>
      <c r="I145" s="4">
        <f t="shared" si="141"/>
        <v>2992</v>
      </c>
      <c r="J145" s="13">
        <f>ROUND(VLOOKUP(D145,[1]物品容器!$T$3:$U$8,2,FALSE)*M145,0)</f>
        <v>2992</v>
      </c>
      <c r="K145" s="18">
        <f t="shared" si="142"/>
        <v>2992</v>
      </c>
      <c r="L145" s="18">
        <f t="shared" ref="L145:O145" si="160">ROUND($I145*L$2,0)</f>
        <v>1795</v>
      </c>
      <c r="M145" s="19">
        <v>0.99721</v>
      </c>
      <c r="N145" s="18">
        <f t="shared" si="160"/>
        <v>449</v>
      </c>
      <c r="O145" s="18">
        <f t="shared" si="160"/>
        <v>44880</v>
      </c>
      <c r="P145" s="18">
        <f t="shared" si="144"/>
        <v>26.925</v>
      </c>
      <c r="Q145" s="18">
        <f t="shared" si="145"/>
        <v>149</v>
      </c>
      <c r="R145" s="2" t="s">
        <v>450</v>
      </c>
      <c r="S145" s="4">
        <f t="shared" si="146"/>
        <v>160040015</v>
      </c>
      <c r="W145" s="4"/>
      <c r="X145" s="4"/>
      <c r="AD145" s="4" t="s">
        <v>100</v>
      </c>
      <c r="AE145" s="4">
        <v>160020013</v>
      </c>
    </row>
    <row r="146" s="2" customFormat="1" spans="1:31">
      <c r="A146" s="4">
        <v>144</v>
      </c>
      <c r="B146" s="5" t="s">
        <v>451</v>
      </c>
      <c r="C146" s="13" t="s">
        <v>283</v>
      </c>
      <c r="D146" s="26" t="s">
        <v>94</v>
      </c>
      <c r="E146" s="13">
        <v>60</v>
      </c>
      <c r="F146" s="28">
        <v>2</v>
      </c>
      <c r="G146" s="5">
        <v>2</v>
      </c>
      <c r="H146" s="6">
        <f t="shared" si="140"/>
        <v>0.91</v>
      </c>
      <c r="I146" s="4">
        <f t="shared" si="141"/>
        <v>10840</v>
      </c>
      <c r="J146" s="13">
        <f>ROUND(VLOOKUP(D146,[1]物品容器!$T$3:$U$8,2,FALSE)*M146,0)</f>
        <v>2978</v>
      </c>
      <c r="K146" s="18">
        <f t="shared" si="142"/>
        <v>2710</v>
      </c>
      <c r="L146" s="18">
        <f t="shared" ref="L146:O146" si="161">ROUND($I146*L$2,0)</f>
        <v>6504</v>
      </c>
      <c r="M146" s="19">
        <v>0.99259</v>
      </c>
      <c r="N146" s="18">
        <f t="shared" si="161"/>
        <v>1626</v>
      </c>
      <c r="O146" s="18">
        <f t="shared" si="161"/>
        <v>162600</v>
      </c>
      <c r="P146" s="18">
        <f t="shared" si="144"/>
        <v>97.56</v>
      </c>
      <c r="Q146" s="18">
        <f t="shared" si="145"/>
        <v>540</v>
      </c>
      <c r="R146" s="2" t="s">
        <v>452</v>
      </c>
      <c r="S146" s="4">
        <f t="shared" si="146"/>
        <v>160040016</v>
      </c>
      <c r="W146" s="4"/>
      <c r="X146" s="4"/>
      <c r="AD146" s="4" t="s">
        <v>103</v>
      </c>
      <c r="AE146" s="4">
        <v>160020014</v>
      </c>
    </row>
    <row r="147" s="2" customFormat="1" spans="1:31">
      <c r="A147" s="4">
        <v>145</v>
      </c>
      <c r="B147" s="5" t="s">
        <v>453</v>
      </c>
      <c r="C147" s="13" t="s">
        <v>283</v>
      </c>
      <c r="D147" s="26" t="s">
        <v>94</v>
      </c>
      <c r="E147" s="13">
        <v>61</v>
      </c>
      <c r="F147" s="5">
        <v>1</v>
      </c>
      <c r="G147" s="5">
        <v>1</v>
      </c>
      <c r="H147" s="6">
        <f t="shared" si="140"/>
        <v>1</v>
      </c>
      <c r="I147" s="4">
        <f t="shared" si="141"/>
        <v>3008</v>
      </c>
      <c r="J147" s="13">
        <f>ROUND(VLOOKUP(D147,[1]物品容器!$T$3:$U$8,2,FALSE)*M147,0)</f>
        <v>3008</v>
      </c>
      <c r="K147" s="18">
        <f t="shared" si="142"/>
        <v>3008</v>
      </c>
      <c r="L147" s="18">
        <f t="shared" ref="L147:O147" si="162">ROUND($I147*L$2,0)</f>
        <v>1805</v>
      </c>
      <c r="M147" s="19">
        <v>1.00283</v>
      </c>
      <c r="N147" s="18">
        <f t="shared" si="162"/>
        <v>451</v>
      </c>
      <c r="O147" s="18">
        <f t="shared" si="162"/>
        <v>45120</v>
      </c>
      <c r="P147" s="18">
        <f t="shared" si="144"/>
        <v>27.075</v>
      </c>
      <c r="Q147" s="18">
        <f t="shared" si="145"/>
        <v>150</v>
      </c>
      <c r="R147" s="2" t="s">
        <v>454</v>
      </c>
      <c r="S147" s="4">
        <f t="shared" si="146"/>
        <v>160040017</v>
      </c>
      <c r="W147" s="4"/>
      <c r="X147" s="4"/>
      <c r="AD147" s="4" t="s">
        <v>106</v>
      </c>
      <c r="AE147" s="4">
        <v>160020015</v>
      </c>
    </row>
    <row r="148" s="2" customFormat="1" spans="1:31">
      <c r="A148" s="4">
        <v>146</v>
      </c>
      <c r="B148" s="5" t="s">
        <v>455</v>
      </c>
      <c r="C148" s="13" t="s">
        <v>283</v>
      </c>
      <c r="D148" s="26" t="s">
        <v>94</v>
      </c>
      <c r="E148" s="13">
        <v>62</v>
      </c>
      <c r="F148" s="5">
        <v>1</v>
      </c>
      <c r="G148" s="5">
        <v>1</v>
      </c>
      <c r="H148" s="6">
        <f t="shared" si="140"/>
        <v>1</v>
      </c>
      <c r="I148" s="4">
        <f t="shared" si="141"/>
        <v>3008</v>
      </c>
      <c r="J148" s="13">
        <f>ROUND(VLOOKUP(D148,[1]物品容器!$T$3:$U$8,2,FALSE)*M148,0)</f>
        <v>3008</v>
      </c>
      <c r="K148" s="18">
        <f t="shared" si="142"/>
        <v>3008</v>
      </c>
      <c r="L148" s="18">
        <f t="shared" ref="L148:O148" si="163">ROUND($I148*L$2,0)</f>
        <v>1805</v>
      </c>
      <c r="M148" s="19">
        <v>1.00283</v>
      </c>
      <c r="N148" s="18">
        <f t="shared" si="163"/>
        <v>451</v>
      </c>
      <c r="O148" s="18">
        <f t="shared" si="163"/>
        <v>45120</v>
      </c>
      <c r="P148" s="18">
        <f t="shared" si="144"/>
        <v>27.075</v>
      </c>
      <c r="Q148" s="18">
        <f t="shared" si="145"/>
        <v>150</v>
      </c>
      <c r="R148" s="2" t="s">
        <v>456</v>
      </c>
      <c r="S148" s="4">
        <f t="shared" si="146"/>
        <v>160040026</v>
      </c>
      <c r="W148" s="4"/>
      <c r="X148" s="4"/>
      <c r="AD148" s="4" t="s">
        <v>109</v>
      </c>
      <c r="AE148" s="4">
        <v>160020016</v>
      </c>
    </row>
    <row r="149" s="2" customFormat="1" spans="1:31">
      <c r="A149" s="4">
        <v>147</v>
      </c>
      <c r="B149" s="5" t="s">
        <v>457</v>
      </c>
      <c r="C149" s="13" t="s">
        <v>283</v>
      </c>
      <c r="D149" s="26" t="s">
        <v>94</v>
      </c>
      <c r="E149" s="13">
        <v>63</v>
      </c>
      <c r="F149" s="28">
        <v>1</v>
      </c>
      <c r="G149" s="28">
        <v>2</v>
      </c>
      <c r="H149" s="6">
        <f t="shared" si="140"/>
        <v>0.97</v>
      </c>
      <c r="I149" s="4">
        <f t="shared" si="141"/>
        <v>5783</v>
      </c>
      <c r="J149" s="13">
        <f>ROUND(VLOOKUP(D149,[1]物品容器!$T$3:$U$8,2,FALSE)*M149,0)</f>
        <v>2981</v>
      </c>
      <c r="K149" s="18">
        <f t="shared" si="142"/>
        <v>2892</v>
      </c>
      <c r="L149" s="18">
        <f t="shared" ref="L149:O149" si="164">ROUND($I149*L$2,0)</f>
        <v>3470</v>
      </c>
      <c r="M149" s="19">
        <v>0.99358</v>
      </c>
      <c r="N149" s="18">
        <f t="shared" si="164"/>
        <v>867</v>
      </c>
      <c r="O149" s="18">
        <f t="shared" si="164"/>
        <v>86745</v>
      </c>
      <c r="P149" s="18">
        <f t="shared" si="144"/>
        <v>52.05</v>
      </c>
      <c r="Q149" s="18">
        <f t="shared" si="145"/>
        <v>288</v>
      </c>
      <c r="R149" s="2" t="s">
        <v>458</v>
      </c>
      <c r="S149" s="4">
        <f t="shared" si="146"/>
        <v>160040018</v>
      </c>
      <c r="W149" s="4"/>
      <c r="X149" s="4"/>
      <c r="AD149" s="4" t="s">
        <v>112</v>
      </c>
      <c r="AE149" s="4">
        <v>160020017</v>
      </c>
    </row>
    <row r="150" s="2" customFormat="1" spans="1:31">
      <c r="A150" s="4">
        <v>148</v>
      </c>
      <c r="B150" s="5" t="s">
        <v>459</v>
      </c>
      <c r="C150" s="13" t="s">
        <v>283</v>
      </c>
      <c r="D150" s="26" t="s">
        <v>94</v>
      </c>
      <c r="E150" s="13">
        <v>64</v>
      </c>
      <c r="F150" s="28">
        <v>2</v>
      </c>
      <c r="G150" s="28">
        <v>2</v>
      </c>
      <c r="H150" s="6">
        <f t="shared" si="140"/>
        <v>0.91</v>
      </c>
      <c r="I150" s="4">
        <f t="shared" si="141"/>
        <v>10920</v>
      </c>
      <c r="J150" s="13">
        <f>ROUND(VLOOKUP(D150,[1]物品容器!$T$3:$U$8,2,FALSE)*M150,0)</f>
        <v>3000</v>
      </c>
      <c r="K150" s="18">
        <f t="shared" si="142"/>
        <v>2730</v>
      </c>
      <c r="L150" s="18">
        <f t="shared" ref="L150:O150" si="165">ROUND($I150*L$2,0)</f>
        <v>6552</v>
      </c>
      <c r="M150" s="19">
        <v>0.99995</v>
      </c>
      <c r="N150" s="18">
        <f t="shared" si="165"/>
        <v>1638</v>
      </c>
      <c r="O150" s="18">
        <f t="shared" si="165"/>
        <v>163800</v>
      </c>
      <c r="P150" s="18">
        <f t="shared" si="144"/>
        <v>98.28</v>
      </c>
      <c r="Q150" s="18">
        <f t="shared" si="145"/>
        <v>544</v>
      </c>
      <c r="R150" s="2" t="s">
        <v>460</v>
      </c>
      <c r="S150" s="4">
        <f t="shared" si="146"/>
        <v>160040019</v>
      </c>
      <c r="W150" s="4"/>
      <c r="X150" s="4"/>
      <c r="AD150" s="4" t="s">
        <v>461</v>
      </c>
      <c r="AE150" s="4">
        <v>160020018</v>
      </c>
    </row>
    <row r="151" s="2" customFormat="1" spans="1:31">
      <c r="A151" s="4">
        <v>149</v>
      </c>
      <c r="B151" s="5" t="s">
        <v>462</v>
      </c>
      <c r="C151" s="13" t="s">
        <v>283</v>
      </c>
      <c r="D151" s="26" t="s">
        <v>94</v>
      </c>
      <c r="E151" s="13">
        <v>65</v>
      </c>
      <c r="F151" s="5">
        <v>1</v>
      </c>
      <c r="G151" s="5">
        <v>1</v>
      </c>
      <c r="H151" s="6">
        <f t="shared" si="140"/>
        <v>1</v>
      </c>
      <c r="I151" s="4">
        <f t="shared" si="141"/>
        <v>2983</v>
      </c>
      <c r="J151" s="13">
        <f>ROUND(VLOOKUP(D151,[1]物品容器!$T$3:$U$8,2,FALSE)*M151,0)</f>
        <v>2983</v>
      </c>
      <c r="K151" s="18">
        <f t="shared" si="142"/>
        <v>2983</v>
      </c>
      <c r="L151" s="18">
        <f t="shared" ref="L151:O151" si="166">ROUND($I151*L$2,0)</f>
        <v>1790</v>
      </c>
      <c r="M151" s="19">
        <v>0.99437</v>
      </c>
      <c r="N151" s="18">
        <f t="shared" si="166"/>
        <v>447</v>
      </c>
      <c r="O151" s="18">
        <f t="shared" si="166"/>
        <v>44745</v>
      </c>
      <c r="P151" s="18">
        <f t="shared" si="144"/>
        <v>26.85</v>
      </c>
      <c r="Q151" s="18">
        <f t="shared" si="145"/>
        <v>149</v>
      </c>
      <c r="R151" s="2" t="s">
        <v>463</v>
      </c>
      <c r="S151" s="4">
        <f t="shared" si="146"/>
        <v>160040032</v>
      </c>
      <c r="W151" s="4"/>
      <c r="X151" s="4"/>
      <c r="AD151" s="4" t="s">
        <v>464</v>
      </c>
      <c r="AE151" s="4">
        <v>160020019</v>
      </c>
    </row>
    <row r="152" s="2" customFormat="1" spans="1:31">
      <c r="A152" s="4">
        <v>150</v>
      </c>
      <c r="B152" s="5" t="s">
        <v>465</v>
      </c>
      <c r="C152" s="13" t="s">
        <v>283</v>
      </c>
      <c r="D152" s="26" t="s">
        <v>94</v>
      </c>
      <c r="E152" s="13">
        <v>66</v>
      </c>
      <c r="F152" s="5">
        <v>1</v>
      </c>
      <c r="G152" s="5">
        <v>1</v>
      </c>
      <c r="H152" s="6">
        <f t="shared" si="140"/>
        <v>1</v>
      </c>
      <c r="I152" s="4">
        <f t="shared" si="141"/>
        <v>2988</v>
      </c>
      <c r="J152" s="13">
        <f>ROUND(VLOOKUP(D152,[1]物品容器!$T$3:$U$8,2,FALSE)*M152,0)</f>
        <v>2988</v>
      </c>
      <c r="K152" s="18">
        <f t="shared" si="142"/>
        <v>2988</v>
      </c>
      <c r="L152" s="18">
        <f t="shared" ref="L152:O152" si="167">ROUND($I152*L$2,0)</f>
        <v>1793</v>
      </c>
      <c r="M152" s="19">
        <v>0.99598</v>
      </c>
      <c r="N152" s="18">
        <f t="shared" si="167"/>
        <v>448</v>
      </c>
      <c r="O152" s="18">
        <f t="shared" si="167"/>
        <v>44820</v>
      </c>
      <c r="P152" s="18">
        <f t="shared" si="144"/>
        <v>26.895</v>
      </c>
      <c r="Q152" s="18">
        <f t="shared" si="145"/>
        <v>149</v>
      </c>
      <c r="R152" s="2" t="s">
        <v>466</v>
      </c>
      <c r="S152" s="4">
        <f t="shared" si="146"/>
        <v>160040031</v>
      </c>
      <c r="W152" s="4"/>
      <c r="X152" s="4"/>
      <c r="AD152" s="4" t="s">
        <v>467</v>
      </c>
      <c r="AE152" s="4">
        <v>160020020</v>
      </c>
    </row>
    <row r="153" s="2" customFormat="1" spans="1:31">
      <c r="A153" s="4">
        <v>151</v>
      </c>
      <c r="B153" s="5" t="s">
        <v>468</v>
      </c>
      <c r="C153" s="13" t="s">
        <v>283</v>
      </c>
      <c r="D153" s="26" t="s">
        <v>94</v>
      </c>
      <c r="E153" s="13">
        <v>67</v>
      </c>
      <c r="F153" s="5">
        <v>1</v>
      </c>
      <c r="G153" s="5">
        <v>2</v>
      </c>
      <c r="H153" s="6">
        <f t="shared" si="140"/>
        <v>0.97</v>
      </c>
      <c r="I153" s="4">
        <f t="shared" si="141"/>
        <v>5795</v>
      </c>
      <c r="J153" s="13">
        <f>ROUND(VLOOKUP(D153,[1]物品容器!$T$3:$U$8,2,FALSE)*M153,0)</f>
        <v>2987</v>
      </c>
      <c r="K153" s="18">
        <f t="shared" si="142"/>
        <v>2897</v>
      </c>
      <c r="L153" s="18">
        <f t="shared" ref="L153:O153" si="168">ROUND($I153*L$2,0)</f>
        <v>3477</v>
      </c>
      <c r="M153" s="19">
        <v>0.99551</v>
      </c>
      <c r="N153" s="18">
        <f t="shared" si="168"/>
        <v>869</v>
      </c>
      <c r="O153" s="18">
        <f t="shared" si="168"/>
        <v>86925</v>
      </c>
      <c r="P153" s="18">
        <f t="shared" si="144"/>
        <v>52.155</v>
      </c>
      <c r="Q153" s="18">
        <f t="shared" si="145"/>
        <v>289</v>
      </c>
      <c r="R153" s="2" t="s">
        <v>469</v>
      </c>
      <c r="S153" s="4">
        <f t="shared" si="146"/>
        <v>160040033</v>
      </c>
      <c r="W153" s="4"/>
      <c r="X153" s="4"/>
      <c r="AD153" s="4" t="s">
        <v>470</v>
      </c>
      <c r="AE153" s="4">
        <v>160020021</v>
      </c>
    </row>
    <row r="154" s="2" customFormat="1" spans="1:31">
      <c r="A154" s="4">
        <v>152</v>
      </c>
      <c r="B154" s="5" t="s">
        <v>471</v>
      </c>
      <c r="C154" s="13" t="s">
        <v>283</v>
      </c>
      <c r="D154" s="26" t="s">
        <v>94</v>
      </c>
      <c r="E154" s="13">
        <v>68</v>
      </c>
      <c r="F154" s="5">
        <v>2</v>
      </c>
      <c r="G154" s="5">
        <v>1</v>
      </c>
      <c r="H154" s="6">
        <f t="shared" si="140"/>
        <v>0.97</v>
      </c>
      <c r="I154" s="4">
        <f t="shared" si="141"/>
        <v>5832</v>
      </c>
      <c r="J154" s="13">
        <f>ROUND(VLOOKUP(D154,[1]物品容器!$T$3:$U$8,2,FALSE)*M154,0)</f>
        <v>3006</v>
      </c>
      <c r="K154" s="18">
        <f t="shared" si="142"/>
        <v>2916</v>
      </c>
      <c r="L154" s="18">
        <f t="shared" ref="L154:O154" si="169">ROUND($I154*L$2,0)</f>
        <v>3499</v>
      </c>
      <c r="M154" s="19">
        <v>1.0021</v>
      </c>
      <c r="N154" s="18">
        <f t="shared" si="169"/>
        <v>875</v>
      </c>
      <c r="O154" s="18">
        <f t="shared" si="169"/>
        <v>87480</v>
      </c>
      <c r="P154" s="18">
        <f t="shared" si="144"/>
        <v>52.485</v>
      </c>
      <c r="Q154" s="18">
        <f t="shared" si="145"/>
        <v>291</v>
      </c>
      <c r="R154" s="2" t="s">
        <v>472</v>
      </c>
      <c r="S154" s="4">
        <f t="shared" si="146"/>
        <v>160040027</v>
      </c>
      <c r="W154" s="4"/>
      <c r="X154" s="4"/>
      <c r="AD154" s="4" t="s">
        <v>75</v>
      </c>
      <c r="AE154" s="4">
        <v>160020022</v>
      </c>
    </row>
    <row r="155" s="2" customFormat="1" spans="1:31">
      <c r="A155" s="4">
        <v>153</v>
      </c>
      <c r="B155" s="5" t="s">
        <v>473</v>
      </c>
      <c r="C155" s="13" t="s">
        <v>283</v>
      </c>
      <c r="D155" s="26" t="s">
        <v>94</v>
      </c>
      <c r="E155" s="13">
        <v>69</v>
      </c>
      <c r="F155" s="5">
        <v>2</v>
      </c>
      <c r="G155" s="5">
        <v>1</v>
      </c>
      <c r="H155" s="6">
        <f t="shared" si="140"/>
        <v>0.97</v>
      </c>
      <c r="I155" s="4">
        <f t="shared" si="141"/>
        <v>5812</v>
      </c>
      <c r="J155" s="13">
        <f>ROUND(VLOOKUP(D155,[1]物品容器!$T$3:$U$8,2,FALSE)*M155,0)</f>
        <v>2996</v>
      </c>
      <c r="K155" s="18">
        <f t="shared" si="142"/>
        <v>2906</v>
      </c>
      <c r="L155" s="18">
        <f t="shared" ref="L155:O155" si="170">ROUND($I155*L$2,0)</f>
        <v>3487</v>
      </c>
      <c r="M155" s="19">
        <v>0.99876</v>
      </c>
      <c r="N155" s="18">
        <f t="shared" si="170"/>
        <v>872</v>
      </c>
      <c r="O155" s="18">
        <f t="shared" si="170"/>
        <v>87180</v>
      </c>
      <c r="P155" s="18">
        <f t="shared" si="144"/>
        <v>52.305</v>
      </c>
      <c r="Q155" s="18">
        <f t="shared" si="145"/>
        <v>290</v>
      </c>
      <c r="R155" s="2" t="s">
        <v>474</v>
      </c>
      <c r="S155" s="4">
        <f t="shared" si="146"/>
        <v>160040028</v>
      </c>
      <c r="W155" s="4"/>
      <c r="X155" s="4"/>
      <c r="AD155" s="4" t="s">
        <v>79</v>
      </c>
      <c r="AE155" s="4">
        <v>160020023</v>
      </c>
    </row>
    <row r="156" s="2" customFormat="1" spans="1:31">
      <c r="A156" s="4">
        <v>154</v>
      </c>
      <c r="B156" s="5" t="s">
        <v>475</v>
      </c>
      <c r="C156" s="13" t="s">
        <v>283</v>
      </c>
      <c r="D156" s="26" t="s">
        <v>94</v>
      </c>
      <c r="E156" s="13">
        <v>70</v>
      </c>
      <c r="F156" s="5">
        <v>1</v>
      </c>
      <c r="G156" s="5">
        <v>1</v>
      </c>
      <c r="H156" s="6">
        <f t="shared" si="140"/>
        <v>1</v>
      </c>
      <c r="I156" s="4">
        <f t="shared" si="141"/>
        <v>3020</v>
      </c>
      <c r="J156" s="13">
        <f>ROUND(VLOOKUP(D156,[1]物品容器!$T$3:$U$8,2,FALSE)*M156,0)</f>
        <v>3020</v>
      </c>
      <c r="K156" s="18">
        <f t="shared" si="142"/>
        <v>3020</v>
      </c>
      <c r="L156" s="18">
        <f t="shared" ref="L156:O156" si="171">ROUND($I156*L$2,0)</f>
        <v>1812</v>
      </c>
      <c r="M156" s="19">
        <v>1.00674</v>
      </c>
      <c r="N156" s="18">
        <f t="shared" si="171"/>
        <v>453</v>
      </c>
      <c r="O156" s="18">
        <f t="shared" si="171"/>
        <v>45300</v>
      </c>
      <c r="P156" s="18">
        <f t="shared" si="144"/>
        <v>27.18</v>
      </c>
      <c r="Q156" s="18">
        <f t="shared" si="145"/>
        <v>150</v>
      </c>
      <c r="R156" s="2" t="s">
        <v>476</v>
      </c>
      <c r="S156" s="4">
        <f t="shared" si="146"/>
        <v>160040034</v>
      </c>
      <c r="W156" s="4"/>
      <c r="X156" s="4"/>
      <c r="AD156" s="4" t="s">
        <v>82</v>
      </c>
      <c r="AE156" s="4">
        <v>160020024</v>
      </c>
    </row>
    <row r="157" s="2" customFormat="1" spans="1:31">
      <c r="A157" s="4">
        <v>155</v>
      </c>
      <c r="B157" s="5" t="s">
        <v>477</v>
      </c>
      <c r="C157" s="13" t="s">
        <v>283</v>
      </c>
      <c r="D157" s="26" t="s">
        <v>94</v>
      </c>
      <c r="E157" s="13">
        <v>71</v>
      </c>
      <c r="F157" s="5">
        <v>2</v>
      </c>
      <c r="G157" s="5">
        <v>1</v>
      </c>
      <c r="H157" s="6">
        <f t="shared" si="140"/>
        <v>0.97</v>
      </c>
      <c r="I157" s="4">
        <f t="shared" si="141"/>
        <v>5806</v>
      </c>
      <c r="J157" s="13">
        <f>ROUND(VLOOKUP(D157,[1]物品容器!$T$3:$U$8,2,FALSE)*M157,0)</f>
        <v>2993</v>
      </c>
      <c r="K157" s="18">
        <f t="shared" si="142"/>
        <v>2903</v>
      </c>
      <c r="L157" s="18">
        <f t="shared" ref="L157:O157" si="172">ROUND($I157*L$2,0)</f>
        <v>3484</v>
      </c>
      <c r="M157" s="19">
        <v>0.99762</v>
      </c>
      <c r="N157" s="18">
        <f t="shared" si="172"/>
        <v>871</v>
      </c>
      <c r="O157" s="18">
        <f t="shared" si="172"/>
        <v>87090</v>
      </c>
      <c r="P157" s="18">
        <f t="shared" si="144"/>
        <v>52.26</v>
      </c>
      <c r="Q157" s="18">
        <f t="shared" si="145"/>
        <v>289</v>
      </c>
      <c r="R157" s="2" t="s">
        <v>478</v>
      </c>
      <c r="S157" s="4">
        <f t="shared" si="146"/>
        <v>160040029</v>
      </c>
      <c r="W157" s="4"/>
      <c r="X157" s="4"/>
      <c r="AD157" s="4" t="s">
        <v>85</v>
      </c>
      <c r="AE157" s="4">
        <v>160020025</v>
      </c>
    </row>
    <row r="158" s="2" customFormat="1" spans="1:31">
      <c r="A158" s="4">
        <v>156</v>
      </c>
      <c r="B158" s="5" t="s">
        <v>479</v>
      </c>
      <c r="C158" s="13" t="s">
        <v>283</v>
      </c>
      <c r="D158" s="26" t="s">
        <v>94</v>
      </c>
      <c r="E158" s="13">
        <v>72</v>
      </c>
      <c r="F158" s="5">
        <v>2</v>
      </c>
      <c r="G158" s="5">
        <v>2</v>
      </c>
      <c r="H158" s="6">
        <f t="shared" si="140"/>
        <v>0.91</v>
      </c>
      <c r="I158" s="4">
        <f t="shared" si="141"/>
        <v>10956</v>
      </c>
      <c r="J158" s="13">
        <f>ROUND(VLOOKUP(D158,[1]物品容器!$T$3:$U$8,2,FALSE)*M158,0)</f>
        <v>3010</v>
      </c>
      <c r="K158" s="18">
        <f t="shared" si="142"/>
        <v>2739</v>
      </c>
      <c r="L158" s="18">
        <f t="shared" ref="L158:O158" si="173">ROUND($I158*L$2,0)</f>
        <v>6574</v>
      </c>
      <c r="M158" s="19">
        <v>1.00342</v>
      </c>
      <c r="N158" s="18">
        <f t="shared" si="173"/>
        <v>1643</v>
      </c>
      <c r="O158" s="18">
        <f t="shared" si="173"/>
        <v>164340</v>
      </c>
      <c r="P158" s="18">
        <f t="shared" si="144"/>
        <v>98.61</v>
      </c>
      <c r="Q158" s="18">
        <f t="shared" si="145"/>
        <v>546</v>
      </c>
      <c r="R158" s="2" t="s">
        <v>480</v>
      </c>
      <c r="S158" s="4">
        <f t="shared" si="146"/>
        <v>160040030</v>
      </c>
      <c r="W158" s="4"/>
      <c r="X158" s="4"/>
      <c r="AD158" s="4" t="s">
        <v>87</v>
      </c>
      <c r="AE158" s="4">
        <v>160020026</v>
      </c>
    </row>
    <row r="159" s="2" customFormat="1" spans="1:31">
      <c r="A159" s="4">
        <v>157</v>
      </c>
      <c r="B159" s="5" t="s">
        <v>481</v>
      </c>
      <c r="C159" s="13" t="s">
        <v>283</v>
      </c>
      <c r="D159" s="27" t="s">
        <v>116</v>
      </c>
      <c r="E159" s="13">
        <v>73</v>
      </c>
      <c r="F159" s="5">
        <v>1</v>
      </c>
      <c r="G159" s="5">
        <v>1</v>
      </c>
      <c r="H159" s="6">
        <f t="shared" si="140"/>
        <v>1</v>
      </c>
      <c r="I159" s="4">
        <f t="shared" si="141"/>
        <v>1009</v>
      </c>
      <c r="J159" s="13">
        <f>ROUND(VLOOKUP(D159,[1]物品容器!$T$3:$U$8,2,FALSE)*M159,0)</f>
        <v>1009</v>
      </c>
      <c r="K159" s="18">
        <f t="shared" si="142"/>
        <v>1009</v>
      </c>
      <c r="L159" s="18">
        <f t="shared" ref="L159:O159" si="174">ROUND($I159*L$2,0)</f>
        <v>605</v>
      </c>
      <c r="M159" s="19">
        <v>1.00947</v>
      </c>
      <c r="N159" s="18">
        <f t="shared" si="174"/>
        <v>151</v>
      </c>
      <c r="O159" s="18">
        <f t="shared" si="174"/>
        <v>15135</v>
      </c>
      <c r="P159" s="18">
        <f t="shared" si="144"/>
        <v>9.075</v>
      </c>
      <c r="Q159" s="18">
        <f t="shared" si="145"/>
        <v>50</v>
      </c>
      <c r="R159" s="2" t="s">
        <v>482</v>
      </c>
      <c r="S159" s="4">
        <f t="shared" si="146"/>
        <v>160040001</v>
      </c>
      <c r="W159" s="4"/>
      <c r="X159" s="4"/>
      <c r="AD159" s="4" t="s">
        <v>90</v>
      </c>
      <c r="AE159" s="4">
        <v>160020027</v>
      </c>
    </row>
    <row r="160" s="2" customFormat="1" spans="1:31">
      <c r="A160" s="4">
        <v>158</v>
      </c>
      <c r="B160" s="5" t="s">
        <v>483</v>
      </c>
      <c r="C160" s="13" t="s">
        <v>283</v>
      </c>
      <c r="D160" s="27" t="s">
        <v>116</v>
      </c>
      <c r="E160" s="13">
        <v>74</v>
      </c>
      <c r="F160" s="28">
        <v>1</v>
      </c>
      <c r="G160" s="28">
        <v>2</v>
      </c>
      <c r="H160" s="6">
        <f t="shared" si="140"/>
        <v>0.97</v>
      </c>
      <c r="I160" s="4">
        <f t="shared" si="141"/>
        <v>1926</v>
      </c>
      <c r="J160" s="13">
        <f>ROUND(VLOOKUP(D160,[1]物品容器!$T$3:$U$8,2,FALSE)*M160,0)</f>
        <v>993</v>
      </c>
      <c r="K160" s="18">
        <f t="shared" si="142"/>
        <v>963</v>
      </c>
      <c r="L160" s="18">
        <f t="shared" ref="L160:O160" si="175">ROUND($I160*L$2,0)</f>
        <v>1156</v>
      </c>
      <c r="M160" s="19">
        <v>0.99294</v>
      </c>
      <c r="N160" s="18">
        <f t="shared" si="175"/>
        <v>289</v>
      </c>
      <c r="O160" s="18">
        <f t="shared" si="175"/>
        <v>28890</v>
      </c>
      <c r="P160" s="18">
        <f t="shared" si="144"/>
        <v>17.34</v>
      </c>
      <c r="Q160" s="18">
        <f t="shared" si="145"/>
        <v>96</v>
      </c>
      <c r="R160" s="2" t="s">
        <v>484</v>
      </c>
      <c r="S160" s="4">
        <f t="shared" si="146"/>
        <v>160040002</v>
      </c>
      <c r="W160" s="4"/>
      <c r="X160" s="4"/>
      <c r="AD160" s="4" t="s">
        <v>485</v>
      </c>
      <c r="AE160" s="4">
        <v>160020028</v>
      </c>
    </row>
    <row r="161" s="2" customFormat="1" spans="1:31">
      <c r="A161" s="4">
        <v>159</v>
      </c>
      <c r="B161" s="29" t="s">
        <v>486</v>
      </c>
      <c r="C161" s="13" t="s">
        <v>283</v>
      </c>
      <c r="D161" s="27" t="s">
        <v>116</v>
      </c>
      <c r="E161" s="13">
        <v>75</v>
      </c>
      <c r="F161" s="5">
        <v>1</v>
      </c>
      <c r="G161" s="5">
        <v>1</v>
      </c>
      <c r="H161" s="6">
        <f t="shared" si="140"/>
        <v>1</v>
      </c>
      <c r="I161" s="4">
        <f t="shared" si="141"/>
        <v>995</v>
      </c>
      <c r="J161" s="13">
        <f>ROUND(VLOOKUP(D161,[1]物品容器!$T$3:$U$8,2,FALSE)*M161,0)</f>
        <v>995</v>
      </c>
      <c r="K161" s="18">
        <f t="shared" si="142"/>
        <v>995</v>
      </c>
      <c r="L161" s="18">
        <f t="shared" ref="L161:O161" si="176">ROUND($I161*L$2,0)</f>
        <v>597</v>
      </c>
      <c r="M161" s="19">
        <v>0.995</v>
      </c>
      <c r="N161" s="18">
        <f t="shared" si="176"/>
        <v>149</v>
      </c>
      <c r="O161" s="18">
        <f t="shared" si="176"/>
        <v>14925</v>
      </c>
      <c r="P161" s="18">
        <f t="shared" si="144"/>
        <v>8.955</v>
      </c>
      <c r="Q161" s="18">
        <f t="shared" si="145"/>
        <v>50</v>
      </c>
      <c r="R161" s="2" t="s">
        <v>487</v>
      </c>
      <c r="S161" s="4">
        <f t="shared" si="146"/>
        <v>160040003</v>
      </c>
      <c r="W161" s="4"/>
      <c r="X161" s="4"/>
      <c r="AD161" s="4" t="s">
        <v>488</v>
      </c>
      <c r="AE161" s="4">
        <v>160020029</v>
      </c>
    </row>
    <row r="162" s="2" customFormat="1" spans="1:31">
      <c r="A162" s="4">
        <v>160</v>
      </c>
      <c r="B162" s="5" t="s">
        <v>489</v>
      </c>
      <c r="C162" s="13" t="s">
        <v>283</v>
      </c>
      <c r="D162" s="27" t="s">
        <v>116</v>
      </c>
      <c r="E162" s="13">
        <v>76</v>
      </c>
      <c r="F162" s="28">
        <v>1</v>
      </c>
      <c r="G162" s="28">
        <v>2</v>
      </c>
      <c r="H162" s="6">
        <f t="shared" si="140"/>
        <v>0.97</v>
      </c>
      <c r="I162" s="4">
        <f t="shared" si="141"/>
        <v>1942</v>
      </c>
      <c r="J162" s="13">
        <f>ROUND(VLOOKUP(D162,[1]物品容器!$T$3:$U$8,2,FALSE)*M162,0)</f>
        <v>1001</v>
      </c>
      <c r="K162" s="18">
        <f t="shared" si="142"/>
        <v>971</v>
      </c>
      <c r="L162" s="18">
        <f t="shared" ref="L162:O162" si="177">ROUND($I162*L$2,0)</f>
        <v>1165</v>
      </c>
      <c r="M162" s="19">
        <v>1.00112</v>
      </c>
      <c r="N162" s="18">
        <f t="shared" si="177"/>
        <v>291</v>
      </c>
      <c r="O162" s="18">
        <f t="shared" si="177"/>
        <v>29130</v>
      </c>
      <c r="P162" s="18">
        <f t="shared" si="144"/>
        <v>17.475</v>
      </c>
      <c r="Q162" s="18">
        <f t="shared" si="145"/>
        <v>97</v>
      </c>
      <c r="R162" s="2" t="s">
        <v>490</v>
      </c>
      <c r="S162" s="4">
        <f t="shared" si="146"/>
        <v>160040004</v>
      </c>
      <c r="W162" s="4"/>
      <c r="X162" s="4"/>
      <c r="AD162" s="4" t="s">
        <v>491</v>
      </c>
      <c r="AE162" s="4">
        <v>160020030</v>
      </c>
    </row>
    <row r="163" s="2" customFormat="1" spans="1:31">
      <c r="A163" s="4">
        <v>161</v>
      </c>
      <c r="B163" s="5" t="s">
        <v>492</v>
      </c>
      <c r="C163" s="13" t="s">
        <v>283</v>
      </c>
      <c r="D163" s="27" t="s">
        <v>116</v>
      </c>
      <c r="E163" s="13">
        <v>77</v>
      </c>
      <c r="F163" s="28">
        <v>2</v>
      </c>
      <c r="G163" s="28">
        <v>2</v>
      </c>
      <c r="H163" s="6">
        <f t="shared" si="140"/>
        <v>0.91</v>
      </c>
      <c r="I163" s="4">
        <f t="shared" si="141"/>
        <v>3673</v>
      </c>
      <c r="J163" s="13">
        <f>ROUND(VLOOKUP(D163,[1]物品容器!$T$3:$U$8,2,FALSE)*M163,0)</f>
        <v>1009</v>
      </c>
      <c r="K163" s="18">
        <f t="shared" si="142"/>
        <v>918</v>
      </c>
      <c r="L163" s="18">
        <f t="shared" ref="L163:O163" si="178">ROUND($I163*L$2,0)</f>
        <v>2204</v>
      </c>
      <c r="M163" s="19">
        <v>1.00895</v>
      </c>
      <c r="N163" s="18">
        <f t="shared" si="178"/>
        <v>551</v>
      </c>
      <c r="O163" s="18">
        <f t="shared" si="178"/>
        <v>55095</v>
      </c>
      <c r="P163" s="18">
        <f t="shared" si="144"/>
        <v>33.06</v>
      </c>
      <c r="Q163" s="18">
        <f t="shared" si="145"/>
        <v>183</v>
      </c>
      <c r="R163" s="2" t="s">
        <v>493</v>
      </c>
      <c r="S163" s="4">
        <f t="shared" si="146"/>
        <v>160040005</v>
      </c>
      <c r="W163" s="4"/>
      <c r="X163" s="4"/>
      <c r="AD163" s="4" t="s">
        <v>494</v>
      </c>
      <c r="AE163" s="4">
        <v>160020031</v>
      </c>
    </row>
    <row r="164" s="2" customFormat="1" spans="1:31">
      <c r="A164" s="4">
        <v>162</v>
      </c>
      <c r="B164" s="5" t="s">
        <v>495</v>
      </c>
      <c r="C164" s="13" t="s">
        <v>283</v>
      </c>
      <c r="D164" s="27" t="s">
        <v>116</v>
      </c>
      <c r="E164" s="13">
        <v>78</v>
      </c>
      <c r="F164" s="5">
        <v>1</v>
      </c>
      <c r="G164" s="5">
        <v>2</v>
      </c>
      <c r="H164" s="6">
        <f t="shared" si="140"/>
        <v>0.97</v>
      </c>
      <c r="I164" s="4">
        <f t="shared" si="141"/>
        <v>1938</v>
      </c>
      <c r="J164" s="13">
        <f>ROUND(VLOOKUP(D164,[1]物品容器!$T$3:$U$8,2,FALSE)*M164,0)</f>
        <v>999</v>
      </c>
      <c r="K164" s="18">
        <f t="shared" si="142"/>
        <v>969</v>
      </c>
      <c r="L164" s="18">
        <f t="shared" ref="L164:O164" si="179">ROUND($I164*L$2,0)</f>
        <v>1163</v>
      </c>
      <c r="M164" s="19">
        <v>0.99851</v>
      </c>
      <c r="N164" s="18">
        <f t="shared" si="179"/>
        <v>291</v>
      </c>
      <c r="O164" s="18">
        <f t="shared" si="179"/>
        <v>29070</v>
      </c>
      <c r="P164" s="18">
        <f t="shared" si="144"/>
        <v>17.445</v>
      </c>
      <c r="Q164" s="18">
        <f t="shared" si="145"/>
        <v>97</v>
      </c>
      <c r="R164" s="2" t="s">
        <v>496</v>
      </c>
      <c r="S164" s="4">
        <f t="shared" si="146"/>
        <v>160040006</v>
      </c>
      <c r="W164" s="4"/>
      <c r="X164" s="4"/>
      <c r="AD164" s="4" t="s">
        <v>62</v>
      </c>
      <c r="AE164" s="4">
        <v>160020032</v>
      </c>
    </row>
    <row r="165" s="2" customFormat="1" spans="1:31">
      <c r="A165" s="4">
        <v>163</v>
      </c>
      <c r="B165" s="5" t="s">
        <v>497</v>
      </c>
      <c r="C165" s="13" t="s">
        <v>283</v>
      </c>
      <c r="D165" s="27" t="s">
        <v>116</v>
      </c>
      <c r="E165" s="13">
        <v>79</v>
      </c>
      <c r="F165" s="28">
        <v>1</v>
      </c>
      <c r="G165" s="28">
        <v>2</v>
      </c>
      <c r="H165" s="6">
        <f t="shared" si="140"/>
        <v>0.97</v>
      </c>
      <c r="I165" s="4">
        <f t="shared" si="141"/>
        <v>1946</v>
      </c>
      <c r="J165" s="13">
        <f>ROUND(VLOOKUP(D165,[1]物品容器!$T$3:$U$8,2,FALSE)*M165,0)</f>
        <v>1003</v>
      </c>
      <c r="K165" s="18">
        <f t="shared" si="142"/>
        <v>973</v>
      </c>
      <c r="L165" s="18">
        <f t="shared" ref="L165:O165" si="180">ROUND($I165*L$2,0)</f>
        <v>1168</v>
      </c>
      <c r="M165" s="19">
        <v>1.0027</v>
      </c>
      <c r="N165" s="18">
        <f t="shared" si="180"/>
        <v>292</v>
      </c>
      <c r="O165" s="18">
        <f t="shared" si="180"/>
        <v>29190</v>
      </c>
      <c r="P165" s="18">
        <f t="shared" si="144"/>
        <v>17.52</v>
      </c>
      <c r="Q165" s="18">
        <f t="shared" si="145"/>
        <v>97</v>
      </c>
      <c r="R165" s="2" t="s">
        <v>498</v>
      </c>
      <c r="S165" s="4">
        <f t="shared" si="146"/>
        <v>160040009</v>
      </c>
      <c r="W165" s="4"/>
      <c r="X165" s="4"/>
      <c r="AD165" s="4" t="s">
        <v>66</v>
      </c>
      <c r="AE165" s="4">
        <v>160020033</v>
      </c>
    </row>
    <row r="166" s="2" customFormat="1" spans="1:31">
      <c r="A166" s="4">
        <v>164</v>
      </c>
      <c r="B166" s="5" t="s">
        <v>499</v>
      </c>
      <c r="C166" s="13" t="s">
        <v>283</v>
      </c>
      <c r="D166" s="27" t="s">
        <v>116</v>
      </c>
      <c r="E166" s="13">
        <v>80</v>
      </c>
      <c r="F166" s="5">
        <v>1</v>
      </c>
      <c r="G166" s="5">
        <v>1</v>
      </c>
      <c r="H166" s="6">
        <f t="shared" si="140"/>
        <v>1</v>
      </c>
      <c r="I166" s="4">
        <f t="shared" si="141"/>
        <v>992</v>
      </c>
      <c r="J166" s="13">
        <f>ROUND(VLOOKUP(D166,[1]物品容器!$T$3:$U$8,2,FALSE)*M166,0)</f>
        <v>992</v>
      </c>
      <c r="K166" s="18">
        <f t="shared" si="142"/>
        <v>992</v>
      </c>
      <c r="L166" s="18">
        <f t="shared" ref="L166:O166" si="181">ROUND($I166*L$2,0)</f>
        <v>595</v>
      </c>
      <c r="M166" s="19">
        <v>0.9921</v>
      </c>
      <c r="N166" s="18">
        <f t="shared" si="181"/>
        <v>149</v>
      </c>
      <c r="O166" s="18">
        <f t="shared" si="181"/>
        <v>14880</v>
      </c>
      <c r="P166" s="18">
        <f t="shared" si="144"/>
        <v>8.925</v>
      </c>
      <c r="Q166" s="18">
        <f t="shared" si="145"/>
        <v>49</v>
      </c>
      <c r="R166" s="2" t="s">
        <v>500</v>
      </c>
      <c r="S166" s="4">
        <f t="shared" si="146"/>
        <v>160040008</v>
      </c>
      <c r="W166" s="4"/>
      <c r="X166" s="4"/>
      <c r="AD166" s="4" t="s">
        <v>69</v>
      </c>
      <c r="AE166" s="4">
        <v>160020034</v>
      </c>
    </row>
    <row r="167" s="2" customFormat="1" spans="1:31">
      <c r="A167" s="4">
        <v>165</v>
      </c>
      <c r="B167" s="5" t="s">
        <v>501</v>
      </c>
      <c r="C167" s="13" t="s">
        <v>283</v>
      </c>
      <c r="D167" s="27" t="s">
        <v>116</v>
      </c>
      <c r="E167" s="13">
        <v>81</v>
      </c>
      <c r="F167" s="5">
        <v>1</v>
      </c>
      <c r="G167" s="5">
        <v>1</v>
      </c>
      <c r="H167" s="6">
        <f t="shared" si="140"/>
        <v>1</v>
      </c>
      <c r="I167" s="4">
        <f t="shared" si="141"/>
        <v>1006</v>
      </c>
      <c r="J167" s="13">
        <f>ROUND(VLOOKUP(D167,[1]物品容器!$T$3:$U$8,2,FALSE)*M167,0)</f>
        <v>1006</v>
      </c>
      <c r="K167" s="18">
        <f t="shared" si="142"/>
        <v>1006</v>
      </c>
      <c r="L167" s="18">
        <f t="shared" ref="L167:O167" si="182">ROUND($I167*L$2,0)</f>
        <v>604</v>
      </c>
      <c r="M167" s="19">
        <v>1.00568</v>
      </c>
      <c r="N167" s="18">
        <f t="shared" si="182"/>
        <v>151</v>
      </c>
      <c r="O167" s="18">
        <f t="shared" si="182"/>
        <v>15090</v>
      </c>
      <c r="P167" s="18">
        <f t="shared" si="144"/>
        <v>9.06</v>
      </c>
      <c r="Q167" s="18">
        <f t="shared" si="145"/>
        <v>50</v>
      </c>
      <c r="R167" s="2" t="s">
        <v>502</v>
      </c>
      <c r="S167" s="4">
        <f t="shared" si="146"/>
        <v>160040010</v>
      </c>
      <c r="W167" s="4"/>
      <c r="X167" s="4"/>
      <c r="AD167" s="4" t="s">
        <v>72</v>
      </c>
      <c r="AE167" s="4">
        <v>160020035</v>
      </c>
    </row>
    <row r="168" s="2" customFormat="1" spans="1:31">
      <c r="A168" s="4">
        <v>166</v>
      </c>
      <c r="B168" s="5" t="s">
        <v>503</v>
      </c>
      <c r="C168" s="13" t="s">
        <v>283</v>
      </c>
      <c r="D168" s="27" t="s">
        <v>116</v>
      </c>
      <c r="E168" s="13">
        <v>82</v>
      </c>
      <c r="F168" s="5">
        <v>1</v>
      </c>
      <c r="G168" s="5">
        <v>1</v>
      </c>
      <c r="H168" s="6">
        <f t="shared" si="140"/>
        <v>1</v>
      </c>
      <c r="I168" s="4">
        <f t="shared" si="141"/>
        <v>1009</v>
      </c>
      <c r="J168" s="13">
        <f>ROUND(VLOOKUP(D168,[1]物品容器!$T$3:$U$8,2,FALSE)*M168,0)</f>
        <v>1009</v>
      </c>
      <c r="K168" s="18">
        <f t="shared" si="142"/>
        <v>1009</v>
      </c>
      <c r="L168" s="18">
        <f t="shared" ref="L168:O168" si="183">ROUND($I168*L$2,0)</f>
        <v>605</v>
      </c>
      <c r="M168" s="19">
        <v>1.00897</v>
      </c>
      <c r="N168" s="18">
        <f t="shared" si="183"/>
        <v>151</v>
      </c>
      <c r="O168" s="18">
        <f t="shared" si="183"/>
        <v>15135</v>
      </c>
      <c r="P168" s="18">
        <f t="shared" si="144"/>
        <v>9.075</v>
      </c>
      <c r="Q168" s="18">
        <f t="shared" si="145"/>
        <v>50</v>
      </c>
      <c r="R168" s="2" t="s">
        <v>504</v>
      </c>
      <c r="S168" s="4">
        <f t="shared" si="146"/>
        <v>160040007</v>
      </c>
      <c r="W168" s="4"/>
      <c r="X168" s="4"/>
      <c r="AD168" s="4" t="s">
        <v>44</v>
      </c>
      <c r="AE168" s="4">
        <v>160020036</v>
      </c>
    </row>
    <row r="169" s="2" customFormat="1" spans="1:31">
      <c r="A169" s="4">
        <v>167</v>
      </c>
      <c r="B169" s="5" t="s">
        <v>505</v>
      </c>
      <c r="C169" s="13" t="s">
        <v>283</v>
      </c>
      <c r="D169" s="27" t="s">
        <v>116</v>
      </c>
      <c r="E169" s="13">
        <v>83</v>
      </c>
      <c r="F169" s="5">
        <v>1</v>
      </c>
      <c r="G169" s="5">
        <v>1</v>
      </c>
      <c r="H169" s="6">
        <f t="shared" si="140"/>
        <v>1</v>
      </c>
      <c r="I169" s="4">
        <f t="shared" si="141"/>
        <v>992</v>
      </c>
      <c r="J169" s="13">
        <f>ROUND(VLOOKUP(D169,[1]物品容器!$T$3:$U$8,2,FALSE)*M169,0)</f>
        <v>992</v>
      </c>
      <c r="K169" s="18">
        <f t="shared" si="142"/>
        <v>992</v>
      </c>
      <c r="L169" s="18">
        <f t="shared" ref="L169:O169" si="184">ROUND($I169*L$2,0)</f>
        <v>595</v>
      </c>
      <c r="M169" s="19">
        <v>0.99193</v>
      </c>
      <c r="N169" s="18">
        <f t="shared" si="184"/>
        <v>149</v>
      </c>
      <c r="O169" s="18">
        <f t="shared" si="184"/>
        <v>14880</v>
      </c>
      <c r="P169" s="18">
        <f t="shared" si="144"/>
        <v>8.925</v>
      </c>
      <c r="Q169" s="18">
        <f t="shared" si="145"/>
        <v>49</v>
      </c>
      <c r="R169" s="2" t="s">
        <v>506</v>
      </c>
      <c r="S169" s="4">
        <f t="shared" si="146"/>
        <v>160040011</v>
      </c>
      <c r="W169" s="4"/>
      <c r="X169" s="4"/>
      <c r="AD169" s="4" t="s">
        <v>40</v>
      </c>
      <c r="AE169" s="4">
        <v>160020037</v>
      </c>
    </row>
    <row r="170" s="2" customFormat="1" spans="1:31">
      <c r="A170" s="4">
        <v>168</v>
      </c>
      <c r="B170" s="5" t="s">
        <v>378</v>
      </c>
      <c r="C170" s="4" t="s">
        <v>507</v>
      </c>
      <c r="D170" s="30" t="s">
        <v>26</v>
      </c>
      <c r="E170" s="4">
        <v>1</v>
      </c>
      <c r="F170" s="31">
        <v>2</v>
      </c>
      <c r="G170" s="31">
        <v>1</v>
      </c>
      <c r="H170" s="6">
        <f t="shared" si="140"/>
        <v>0.97</v>
      </c>
      <c r="I170" s="4">
        <f t="shared" si="141"/>
        <v>587744</v>
      </c>
      <c r="J170" s="13">
        <f>ROUND(VLOOKUP(D170,[1]物品容器!$T$3:$U$8,2,FALSE)*M170,0)</f>
        <v>302961</v>
      </c>
      <c r="K170" s="18">
        <f t="shared" si="142"/>
        <v>293872</v>
      </c>
      <c r="L170" s="18">
        <f t="shared" ref="L170:O170" si="185">ROUND($I170*L$2,0)</f>
        <v>352646</v>
      </c>
      <c r="M170" s="19">
        <v>1.00987</v>
      </c>
      <c r="N170" s="18">
        <f t="shared" si="185"/>
        <v>88162</v>
      </c>
      <c r="O170" s="18">
        <f t="shared" si="185"/>
        <v>8816160</v>
      </c>
      <c r="P170" s="18">
        <f t="shared" si="144"/>
        <v>5289.69</v>
      </c>
      <c r="Q170" s="18">
        <f t="shared" si="145"/>
        <v>29287</v>
      </c>
      <c r="R170" s="16" t="s">
        <v>508</v>
      </c>
      <c r="S170" s="4">
        <f t="shared" si="146"/>
        <v>160010040</v>
      </c>
      <c r="W170" s="4"/>
      <c r="X170" s="4"/>
      <c r="AD170" s="4" t="s">
        <v>47</v>
      </c>
      <c r="AE170" s="4">
        <v>160020038</v>
      </c>
    </row>
    <row r="171" s="2" customFormat="1" spans="1:31">
      <c r="A171" s="4">
        <v>169</v>
      </c>
      <c r="B171" s="5" t="s">
        <v>381</v>
      </c>
      <c r="C171" s="4" t="s">
        <v>507</v>
      </c>
      <c r="D171" s="30" t="s">
        <v>26</v>
      </c>
      <c r="E171" s="4">
        <v>2</v>
      </c>
      <c r="F171" s="31">
        <v>3</v>
      </c>
      <c r="G171" s="31">
        <v>4</v>
      </c>
      <c r="H171" s="6">
        <f t="shared" si="140"/>
        <v>0.7</v>
      </c>
      <c r="I171" s="4">
        <f t="shared" si="141"/>
        <v>2520630</v>
      </c>
      <c r="J171" s="13">
        <f>ROUND(VLOOKUP(D171,[1]物品容器!$T$3:$U$8,2,FALSE)*M171,0)</f>
        <v>300075</v>
      </c>
      <c r="K171" s="18">
        <f t="shared" si="142"/>
        <v>210053</v>
      </c>
      <c r="L171" s="18">
        <f t="shared" ref="L171:O171" si="186">ROUND($I171*L$2,0)</f>
        <v>1512378</v>
      </c>
      <c r="M171" s="19">
        <v>1.00025</v>
      </c>
      <c r="N171" s="18">
        <f t="shared" si="186"/>
        <v>378095</v>
      </c>
      <c r="O171" s="18">
        <f t="shared" si="186"/>
        <v>37809450</v>
      </c>
      <c r="P171" s="18">
        <f t="shared" si="144"/>
        <v>22685.67</v>
      </c>
      <c r="Q171" s="18">
        <f t="shared" si="145"/>
        <v>125600</v>
      </c>
      <c r="R171" s="16" t="s">
        <v>509</v>
      </c>
      <c r="S171" s="4">
        <f t="shared" si="146"/>
        <v>160010041</v>
      </c>
      <c r="W171" s="4"/>
      <c r="X171" s="4"/>
      <c r="AD171" s="4" t="s">
        <v>50</v>
      </c>
      <c r="AE171" s="4">
        <v>160020039</v>
      </c>
    </row>
    <row r="172" s="2" customFormat="1" spans="1:31">
      <c r="A172" s="4">
        <v>170</v>
      </c>
      <c r="B172" s="5" t="s">
        <v>384</v>
      </c>
      <c r="C172" s="4" t="s">
        <v>507</v>
      </c>
      <c r="D172" s="30" t="s">
        <v>26</v>
      </c>
      <c r="E172" s="4">
        <v>3</v>
      </c>
      <c r="F172" s="31">
        <v>3</v>
      </c>
      <c r="G172" s="31">
        <v>3</v>
      </c>
      <c r="H172" s="6">
        <f t="shared" si="140"/>
        <v>0.8</v>
      </c>
      <c r="I172" s="4">
        <f t="shared" si="141"/>
        <v>2140538</v>
      </c>
      <c r="J172" s="13">
        <f>ROUND(VLOOKUP(D172,[1]物品容器!$T$3:$U$8,2,FALSE)*M172,0)</f>
        <v>297297</v>
      </c>
      <c r="K172" s="18">
        <f t="shared" si="142"/>
        <v>237838</v>
      </c>
      <c r="L172" s="18">
        <f t="shared" ref="L172:O172" si="187">ROUND($I172*L$2,0)</f>
        <v>1284323</v>
      </c>
      <c r="M172" s="19">
        <v>0.99099</v>
      </c>
      <c r="N172" s="18">
        <f t="shared" si="187"/>
        <v>321081</v>
      </c>
      <c r="O172" s="18">
        <f t="shared" si="187"/>
        <v>32108070</v>
      </c>
      <c r="P172" s="18">
        <f t="shared" si="144"/>
        <v>19264.845</v>
      </c>
      <c r="Q172" s="18">
        <f t="shared" si="145"/>
        <v>106661</v>
      </c>
      <c r="R172" s="16" t="s">
        <v>510</v>
      </c>
      <c r="S172" s="4">
        <f t="shared" si="146"/>
        <v>160010042</v>
      </c>
      <c r="W172" s="4"/>
      <c r="X172" s="4"/>
      <c r="AD172" s="4" t="s">
        <v>53</v>
      </c>
      <c r="AE172" s="4">
        <v>160020040</v>
      </c>
    </row>
    <row r="173" s="2" customFormat="1" spans="1:31">
      <c r="A173" s="4">
        <v>171</v>
      </c>
      <c r="B173" s="5" t="s">
        <v>387</v>
      </c>
      <c r="C173" s="4" t="s">
        <v>507</v>
      </c>
      <c r="D173" s="30" t="s">
        <v>26</v>
      </c>
      <c r="E173" s="4">
        <v>4</v>
      </c>
      <c r="F173" s="31">
        <v>3</v>
      </c>
      <c r="G173" s="31">
        <v>3</v>
      </c>
      <c r="H173" s="6">
        <f t="shared" si="140"/>
        <v>0.8</v>
      </c>
      <c r="I173" s="4">
        <f t="shared" si="141"/>
        <v>2170346</v>
      </c>
      <c r="J173" s="13">
        <f>ROUND(VLOOKUP(D173,[1]物品容器!$T$3:$U$8,2,FALSE)*M173,0)</f>
        <v>301437</v>
      </c>
      <c r="K173" s="18">
        <f t="shared" si="142"/>
        <v>241150</v>
      </c>
      <c r="L173" s="18">
        <f t="shared" ref="L173:O173" si="188">ROUND($I173*L$2,0)</f>
        <v>1302208</v>
      </c>
      <c r="M173" s="19">
        <v>1.00479</v>
      </c>
      <c r="N173" s="18">
        <f t="shared" si="188"/>
        <v>325552</v>
      </c>
      <c r="O173" s="18">
        <f t="shared" si="188"/>
        <v>32555190</v>
      </c>
      <c r="P173" s="18">
        <f t="shared" si="144"/>
        <v>19533.12</v>
      </c>
      <c r="Q173" s="18">
        <f t="shared" si="145"/>
        <v>108146</v>
      </c>
      <c r="R173" s="16" t="s">
        <v>511</v>
      </c>
      <c r="S173" s="4">
        <f t="shared" si="146"/>
        <v>160010043</v>
      </c>
      <c r="W173" s="4"/>
      <c r="X173" s="4"/>
      <c r="AD173" s="4" t="s">
        <v>56</v>
      </c>
      <c r="AE173" s="4">
        <v>160020041</v>
      </c>
    </row>
    <row r="174" s="2" customFormat="1" spans="1:31">
      <c r="A174" s="4">
        <v>172</v>
      </c>
      <c r="B174" s="5" t="s">
        <v>390</v>
      </c>
      <c r="C174" s="4" t="s">
        <v>507</v>
      </c>
      <c r="D174" s="30" t="s">
        <v>26</v>
      </c>
      <c r="E174" s="4">
        <v>5</v>
      </c>
      <c r="F174" s="31">
        <v>3</v>
      </c>
      <c r="G174" s="31">
        <v>2</v>
      </c>
      <c r="H174" s="6">
        <f t="shared" si="140"/>
        <v>0.88</v>
      </c>
      <c r="I174" s="4">
        <f t="shared" si="141"/>
        <v>1583667</v>
      </c>
      <c r="J174" s="13">
        <f>ROUND(VLOOKUP(D174,[1]物品容器!$T$3:$U$8,2,FALSE)*M174,0)</f>
        <v>299937</v>
      </c>
      <c r="K174" s="18">
        <f t="shared" si="142"/>
        <v>263945</v>
      </c>
      <c r="L174" s="18">
        <f t="shared" ref="L174:O174" si="189">ROUND($I174*L$2,0)</f>
        <v>950200</v>
      </c>
      <c r="M174" s="19">
        <v>0.99979</v>
      </c>
      <c r="N174" s="18">
        <f t="shared" si="189"/>
        <v>237550</v>
      </c>
      <c r="O174" s="18">
        <f t="shared" si="189"/>
        <v>23755005</v>
      </c>
      <c r="P174" s="18">
        <f t="shared" si="144"/>
        <v>14253</v>
      </c>
      <c r="Q174" s="18">
        <f t="shared" si="145"/>
        <v>78912</v>
      </c>
      <c r="R174" s="16" t="s">
        <v>512</v>
      </c>
      <c r="S174" s="4">
        <f t="shared" si="146"/>
        <v>160010044</v>
      </c>
      <c r="W174" s="4"/>
      <c r="X174" s="4"/>
      <c r="AD174" s="4" t="s">
        <v>59</v>
      </c>
      <c r="AE174" s="4">
        <v>160020042</v>
      </c>
    </row>
    <row r="175" s="2" customFormat="1" spans="1:31">
      <c r="A175" s="4">
        <v>173</v>
      </c>
      <c r="B175" s="5" t="s">
        <v>393</v>
      </c>
      <c r="C175" s="4" t="s">
        <v>507</v>
      </c>
      <c r="D175" s="30" t="s">
        <v>26</v>
      </c>
      <c r="E175" s="4">
        <v>6</v>
      </c>
      <c r="F175" s="31">
        <v>1</v>
      </c>
      <c r="G175" s="31">
        <v>1</v>
      </c>
      <c r="H175" s="6">
        <f t="shared" si="140"/>
        <v>1</v>
      </c>
      <c r="I175" s="4">
        <f t="shared" si="141"/>
        <v>299145</v>
      </c>
      <c r="J175" s="13">
        <f>ROUND(VLOOKUP(D175,[1]物品容器!$T$3:$U$8,2,FALSE)*M175,0)</f>
        <v>299145</v>
      </c>
      <c r="K175" s="18">
        <f t="shared" si="142"/>
        <v>299145</v>
      </c>
      <c r="L175" s="18">
        <f t="shared" ref="L175:O175" si="190">ROUND($I175*L$2,0)</f>
        <v>179487</v>
      </c>
      <c r="M175" s="19">
        <v>0.99715</v>
      </c>
      <c r="N175" s="18">
        <f t="shared" si="190"/>
        <v>44872</v>
      </c>
      <c r="O175" s="18">
        <f t="shared" si="190"/>
        <v>4487175</v>
      </c>
      <c r="P175" s="18">
        <f t="shared" si="144"/>
        <v>2692.305</v>
      </c>
      <c r="Q175" s="18">
        <f t="shared" si="145"/>
        <v>14906</v>
      </c>
      <c r="R175" s="16" t="s">
        <v>513</v>
      </c>
      <c r="S175" s="4">
        <f t="shared" si="146"/>
        <v>160010045</v>
      </c>
      <c r="W175" s="4"/>
      <c r="X175" s="4"/>
      <c r="AD175" s="4" t="s">
        <v>24</v>
      </c>
      <c r="AE175" s="4">
        <v>160020043</v>
      </c>
    </row>
    <row r="176" s="2" customFormat="1" spans="1:31">
      <c r="A176" s="4">
        <v>174</v>
      </c>
      <c r="B176" s="5" t="s">
        <v>514</v>
      </c>
      <c r="C176" s="4" t="s">
        <v>507</v>
      </c>
      <c r="D176" s="30" t="s">
        <v>26</v>
      </c>
      <c r="E176" s="4">
        <v>7</v>
      </c>
      <c r="F176" s="31">
        <v>1</v>
      </c>
      <c r="G176" s="31">
        <v>1</v>
      </c>
      <c r="H176" s="6">
        <f t="shared" si="140"/>
        <v>1</v>
      </c>
      <c r="I176" s="4">
        <f t="shared" si="141"/>
        <v>300957</v>
      </c>
      <c r="J176" s="13">
        <f>ROUND(VLOOKUP(D176,[1]物品容器!$T$3:$U$8,2,FALSE)*M176,0)</f>
        <v>300957</v>
      </c>
      <c r="K176" s="18">
        <f t="shared" si="142"/>
        <v>300957</v>
      </c>
      <c r="L176" s="18">
        <f t="shared" ref="L176:O176" si="191">ROUND($I176*L$2,0)</f>
        <v>180574</v>
      </c>
      <c r="M176" s="19">
        <v>1.00319</v>
      </c>
      <c r="N176" s="18">
        <f t="shared" si="191"/>
        <v>45144</v>
      </c>
      <c r="O176" s="18">
        <f t="shared" si="191"/>
        <v>4514355</v>
      </c>
      <c r="P176" s="18">
        <f t="shared" si="144"/>
        <v>2708.61</v>
      </c>
      <c r="Q176" s="18">
        <f t="shared" si="145"/>
        <v>14996</v>
      </c>
      <c r="R176" s="16" t="s">
        <v>515</v>
      </c>
      <c r="S176" s="4" t="e">
        <f t="shared" si="146"/>
        <v>#N/A</v>
      </c>
      <c r="W176" s="4"/>
      <c r="X176" s="4"/>
      <c r="AD176" s="4" t="s">
        <v>28</v>
      </c>
      <c r="AE176" s="4">
        <v>160020044</v>
      </c>
    </row>
    <row r="177" s="2" customFormat="1" spans="1:31">
      <c r="A177" s="4">
        <v>175</v>
      </c>
      <c r="B177" s="5" t="s">
        <v>396</v>
      </c>
      <c r="C177" s="4" t="s">
        <v>507</v>
      </c>
      <c r="D177" s="30" t="s">
        <v>26</v>
      </c>
      <c r="E177" s="4">
        <v>8</v>
      </c>
      <c r="F177" s="31">
        <v>2</v>
      </c>
      <c r="G177" s="31">
        <v>1</v>
      </c>
      <c r="H177" s="6">
        <f t="shared" si="140"/>
        <v>0.97</v>
      </c>
      <c r="I177" s="4">
        <f t="shared" si="141"/>
        <v>584334</v>
      </c>
      <c r="J177" s="13">
        <f>ROUND(VLOOKUP(D177,[1]物品容器!$T$3:$U$8,2,FALSE)*M177,0)</f>
        <v>301203</v>
      </c>
      <c r="K177" s="18">
        <f t="shared" si="142"/>
        <v>292167</v>
      </c>
      <c r="L177" s="18">
        <f t="shared" ref="L177:O177" si="192">ROUND($I177*L$2,0)</f>
        <v>350600</v>
      </c>
      <c r="M177" s="19">
        <v>1.00401</v>
      </c>
      <c r="N177" s="18">
        <f t="shared" si="192"/>
        <v>87650</v>
      </c>
      <c r="O177" s="18">
        <f t="shared" si="192"/>
        <v>8765010</v>
      </c>
      <c r="P177" s="18">
        <f t="shared" si="144"/>
        <v>5259</v>
      </c>
      <c r="Q177" s="18">
        <f t="shared" si="145"/>
        <v>29117</v>
      </c>
      <c r="R177" s="16" t="s">
        <v>516</v>
      </c>
      <c r="S177" s="4">
        <f t="shared" si="146"/>
        <v>160010047</v>
      </c>
      <c r="W177" s="4"/>
      <c r="X177" s="4"/>
      <c r="AD177" s="4" t="s">
        <v>30</v>
      </c>
      <c r="AE177" s="4">
        <v>160020045</v>
      </c>
    </row>
    <row r="178" s="2" customFormat="1" spans="1:31">
      <c r="A178" s="4">
        <v>176</v>
      </c>
      <c r="B178" s="5" t="s">
        <v>399</v>
      </c>
      <c r="C178" s="4" t="s">
        <v>507</v>
      </c>
      <c r="D178" s="30" t="s">
        <v>26</v>
      </c>
      <c r="E178" s="4">
        <v>9</v>
      </c>
      <c r="F178" s="31">
        <v>2</v>
      </c>
      <c r="G178" s="31">
        <v>2</v>
      </c>
      <c r="H178" s="6">
        <f t="shared" si="140"/>
        <v>0.91</v>
      </c>
      <c r="I178" s="4">
        <f t="shared" si="141"/>
        <v>1094009</v>
      </c>
      <c r="J178" s="13">
        <f>ROUND(VLOOKUP(D178,[1]物品容器!$T$3:$U$8,2,FALSE)*M178,0)</f>
        <v>300552</v>
      </c>
      <c r="K178" s="18">
        <f t="shared" si="142"/>
        <v>273502</v>
      </c>
      <c r="L178" s="18">
        <f t="shared" ref="L178:O178" si="193">ROUND($I178*L$2,0)</f>
        <v>656405</v>
      </c>
      <c r="M178" s="19">
        <v>1.00184</v>
      </c>
      <c r="N178" s="18">
        <f t="shared" si="193"/>
        <v>164101</v>
      </c>
      <c r="O178" s="18">
        <f t="shared" si="193"/>
        <v>16410135</v>
      </c>
      <c r="P178" s="18">
        <f t="shared" si="144"/>
        <v>9846.075</v>
      </c>
      <c r="Q178" s="18">
        <f t="shared" si="145"/>
        <v>54513</v>
      </c>
      <c r="R178" s="16" t="s">
        <v>517</v>
      </c>
      <c r="S178" s="4">
        <f t="shared" si="146"/>
        <v>160010048</v>
      </c>
      <c r="W178" s="4"/>
      <c r="X178" s="4"/>
      <c r="AD178" s="4" t="s">
        <v>32</v>
      </c>
      <c r="AE178" s="4">
        <v>160020046</v>
      </c>
    </row>
    <row r="179" s="2" customFormat="1" spans="1:31">
      <c r="A179" s="4">
        <v>177</v>
      </c>
      <c r="B179" s="5" t="s">
        <v>402</v>
      </c>
      <c r="C179" s="4" t="s">
        <v>507</v>
      </c>
      <c r="D179" s="30" t="s">
        <v>26</v>
      </c>
      <c r="E179" s="4">
        <v>10</v>
      </c>
      <c r="F179" s="31">
        <v>2</v>
      </c>
      <c r="G179" s="31">
        <v>2</v>
      </c>
      <c r="H179" s="6">
        <f t="shared" si="140"/>
        <v>0.91</v>
      </c>
      <c r="I179" s="4">
        <f t="shared" si="141"/>
        <v>1094970</v>
      </c>
      <c r="J179" s="13">
        <f>ROUND(VLOOKUP(D179,[1]物品容器!$T$3:$U$8,2,FALSE)*M179,0)</f>
        <v>300816</v>
      </c>
      <c r="K179" s="18">
        <f t="shared" si="142"/>
        <v>273743</v>
      </c>
      <c r="L179" s="18">
        <f t="shared" ref="L179:O179" si="194">ROUND($I179*L$2,0)</f>
        <v>656982</v>
      </c>
      <c r="M179" s="19">
        <v>1.00272</v>
      </c>
      <c r="N179" s="18">
        <f t="shared" si="194"/>
        <v>164246</v>
      </c>
      <c r="O179" s="18">
        <f t="shared" si="194"/>
        <v>16424550</v>
      </c>
      <c r="P179" s="18">
        <f t="shared" si="144"/>
        <v>9854.73</v>
      </c>
      <c r="Q179" s="18">
        <f t="shared" si="145"/>
        <v>54561</v>
      </c>
      <c r="R179" s="16" t="s">
        <v>518</v>
      </c>
      <c r="S179" s="4">
        <f t="shared" si="146"/>
        <v>160010049</v>
      </c>
      <c r="W179" s="4"/>
      <c r="X179" s="4"/>
      <c r="AD179" s="4" t="s">
        <v>34</v>
      </c>
      <c r="AE179" s="4">
        <v>160020047</v>
      </c>
    </row>
    <row r="180" s="2" customFormat="1" spans="1:31">
      <c r="A180" s="4">
        <v>178</v>
      </c>
      <c r="B180" s="5" t="s">
        <v>405</v>
      </c>
      <c r="C180" s="4" t="s">
        <v>507</v>
      </c>
      <c r="D180" s="30" t="s">
        <v>26</v>
      </c>
      <c r="E180" s="4">
        <v>11</v>
      </c>
      <c r="F180" s="31">
        <v>2</v>
      </c>
      <c r="G180" s="31">
        <v>2</v>
      </c>
      <c r="H180" s="6">
        <f t="shared" si="140"/>
        <v>0.91</v>
      </c>
      <c r="I180" s="4">
        <f t="shared" si="141"/>
        <v>1101500</v>
      </c>
      <c r="J180" s="13">
        <f>ROUND(VLOOKUP(D180,[1]物品容器!$T$3:$U$8,2,FALSE)*M180,0)</f>
        <v>302610</v>
      </c>
      <c r="K180" s="18">
        <f t="shared" si="142"/>
        <v>275375</v>
      </c>
      <c r="L180" s="18">
        <f t="shared" ref="L180:O180" si="195">ROUND($I180*L$2,0)</f>
        <v>660900</v>
      </c>
      <c r="M180" s="19">
        <v>1.0087</v>
      </c>
      <c r="N180" s="18">
        <f t="shared" si="195"/>
        <v>165225</v>
      </c>
      <c r="O180" s="18">
        <f t="shared" si="195"/>
        <v>16522500</v>
      </c>
      <c r="P180" s="18">
        <f t="shared" si="144"/>
        <v>9913.5</v>
      </c>
      <c r="Q180" s="18">
        <f t="shared" si="145"/>
        <v>54887</v>
      </c>
      <c r="R180" s="16" t="s">
        <v>519</v>
      </c>
      <c r="S180" s="4">
        <f t="shared" si="146"/>
        <v>160010050</v>
      </c>
      <c r="W180" s="4"/>
      <c r="X180" s="4"/>
      <c r="AD180" s="4" t="s">
        <v>38</v>
      </c>
      <c r="AE180" s="4">
        <v>160020048</v>
      </c>
    </row>
    <row r="181" s="2" customFormat="1" spans="1:31">
      <c r="A181" s="4">
        <v>179</v>
      </c>
      <c r="B181" s="5" t="s">
        <v>408</v>
      </c>
      <c r="C181" s="4" t="s">
        <v>507</v>
      </c>
      <c r="D181" s="30" t="s">
        <v>26</v>
      </c>
      <c r="E181" s="4">
        <v>12</v>
      </c>
      <c r="F181" s="31">
        <v>2</v>
      </c>
      <c r="G181" s="31">
        <v>2</v>
      </c>
      <c r="H181" s="6">
        <f t="shared" si="140"/>
        <v>0.91</v>
      </c>
      <c r="I181" s="4">
        <f t="shared" si="141"/>
        <v>1098705</v>
      </c>
      <c r="J181" s="13">
        <f>ROUND(VLOOKUP(D181,[1]物品容器!$T$3:$U$8,2,FALSE)*M181,0)</f>
        <v>301842</v>
      </c>
      <c r="K181" s="18">
        <f t="shared" si="142"/>
        <v>274676</v>
      </c>
      <c r="L181" s="18">
        <f t="shared" ref="L181:O181" si="196">ROUND($I181*L$2,0)</f>
        <v>659223</v>
      </c>
      <c r="M181" s="19">
        <v>1.00614</v>
      </c>
      <c r="N181" s="18">
        <f t="shared" si="196"/>
        <v>164806</v>
      </c>
      <c r="O181" s="18">
        <f t="shared" si="196"/>
        <v>16480575</v>
      </c>
      <c r="P181" s="18">
        <f t="shared" si="144"/>
        <v>9888.345</v>
      </c>
      <c r="Q181" s="18">
        <f t="shared" si="145"/>
        <v>54747</v>
      </c>
      <c r="R181" s="16" t="s">
        <v>520</v>
      </c>
      <c r="S181" s="4">
        <f t="shared" si="146"/>
        <v>160010051</v>
      </c>
      <c r="W181" s="4"/>
      <c r="X181" s="4"/>
      <c r="AD181" s="4" t="s">
        <v>521</v>
      </c>
      <c r="AE181" s="4">
        <v>160030001</v>
      </c>
    </row>
    <row r="182" s="2" customFormat="1" spans="1:31">
      <c r="A182" s="4">
        <v>180</v>
      </c>
      <c r="B182" s="5" t="s">
        <v>411</v>
      </c>
      <c r="C182" s="4" t="s">
        <v>507</v>
      </c>
      <c r="D182" s="30" t="s">
        <v>26</v>
      </c>
      <c r="E182" s="4">
        <v>13</v>
      </c>
      <c r="F182" s="31">
        <v>3</v>
      </c>
      <c r="G182" s="31">
        <v>2</v>
      </c>
      <c r="H182" s="6">
        <f t="shared" si="140"/>
        <v>0.88</v>
      </c>
      <c r="I182" s="4">
        <f t="shared" si="141"/>
        <v>1578646</v>
      </c>
      <c r="J182" s="13">
        <f>ROUND(VLOOKUP(D182,[1]物品容器!$T$3:$U$8,2,FALSE)*M182,0)</f>
        <v>298986</v>
      </c>
      <c r="K182" s="18">
        <f t="shared" si="142"/>
        <v>263108</v>
      </c>
      <c r="L182" s="18">
        <f t="shared" ref="L182:O182" si="197">ROUND($I182*L$2,0)</f>
        <v>947188</v>
      </c>
      <c r="M182" s="19">
        <v>0.99662</v>
      </c>
      <c r="N182" s="18">
        <f t="shared" si="197"/>
        <v>236797</v>
      </c>
      <c r="O182" s="18">
        <f t="shared" si="197"/>
        <v>23679690</v>
      </c>
      <c r="P182" s="18">
        <f t="shared" si="144"/>
        <v>14207.82</v>
      </c>
      <c r="Q182" s="18">
        <f t="shared" si="145"/>
        <v>78662</v>
      </c>
      <c r="R182" s="16" t="s">
        <v>522</v>
      </c>
      <c r="S182" s="4">
        <f t="shared" si="146"/>
        <v>160010052</v>
      </c>
      <c r="W182" s="4"/>
      <c r="X182" s="4"/>
      <c r="AD182" s="4" t="s">
        <v>523</v>
      </c>
      <c r="AE182" s="4">
        <v>160030002</v>
      </c>
    </row>
    <row r="183" s="2" customFormat="1" spans="1:31">
      <c r="A183" s="4">
        <v>181</v>
      </c>
      <c r="B183" s="5" t="s">
        <v>414</v>
      </c>
      <c r="C183" s="4" t="s">
        <v>507</v>
      </c>
      <c r="D183" s="30" t="s">
        <v>26</v>
      </c>
      <c r="E183" s="4">
        <v>14</v>
      </c>
      <c r="F183" s="31">
        <v>3</v>
      </c>
      <c r="G183" s="31">
        <v>3</v>
      </c>
      <c r="H183" s="6">
        <f t="shared" si="140"/>
        <v>0.8</v>
      </c>
      <c r="I183" s="4">
        <f t="shared" si="141"/>
        <v>2143498</v>
      </c>
      <c r="J183" s="13">
        <f>ROUND(VLOOKUP(D183,[1]物品容器!$T$3:$U$8,2,FALSE)*M183,0)</f>
        <v>297708</v>
      </c>
      <c r="K183" s="18">
        <f t="shared" si="142"/>
        <v>238166</v>
      </c>
      <c r="L183" s="18">
        <f t="shared" ref="L183:O183" si="198">ROUND($I183*L$2,0)</f>
        <v>1286099</v>
      </c>
      <c r="M183" s="19">
        <v>0.99236</v>
      </c>
      <c r="N183" s="18">
        <f t="shared" si="198"/>
        <v>321525</v>
      </c>
      <c r="O183" s="18">
        <f t="shared" si="198"/>
        <v>32152470</v>
      </c>
      <c r="P183" s="18">
        <f t="shared" si="144"/>
        <v>19291.485</v>
      </c>
      <c r="Q183" s="18">
        <f t="shared" si="145"/>
        <v>106808</v>
      </c>
      <c r="R183" s="16" t="s">
        <v>524</v>
      </c>
      <c r="S183" s="4">
        <f t="shared" si="146"/>
        <v>160010053</v>
      </c>
      <c r="W183" s="4"/>
      <c r="X183" s="4"/>
      <c r="AD183" s="4" t="s">
        <v>525</v>
      </c>
      <c r="AE183" s="4">
        <v>160030003</v>
      </c>
    </row>
    <row r="184" s="2" customFormat="1" spans="1:31">
      <c r="A184" s="4">
        <v>182</v>
      </c>
      <c r="B184" s="5" t="s">
        <v>417</v>
      </c>
      <c r="C184" s="4" t="s">
        <v>507</v>
      </c>
      <c r="D184" s="30" t="s">
        <v>26</v>
      </c>
      <c r="E184" s="4">
        <v>15</v>
      </c>
      <c r="F184" s="31">
        <v>3</v>
      </c>
      <c r="G184" s="31">
        <v>2</v>
      </c>
      <c r="H184" s="6">
        <f t="shared" si="140"/>
        <v>0.88</v>
      </c>
      <c r="I184" s="4">
        <f t="shared" si="141"/>
        <v>1570441</v>
      </c>
      <c r="J184" s="13">
        <f>ROUND(VLOOKUP(D184,[1]物品容器!$T$3:$U$8,2,FALSE)*M184,0)</f>
        <v>297432</v>
      </c>
      <c r="K184" s="18">
        <f t="shared" si="142"/>
        <v>261740</v>
      </c>
      <c r="L184" s="18">
        <f t="shared" ref="L184:O184" si="199">ROUND($I184*L$2,0)</f>
        <v>942265</v>
      </c>
      <c r="M184" s="19">
        <v>0.99144</v>
      </c>
      <c r="N184" s="18">
        <f t="shared" si="199"/>
        <v>235566</v>
      </c>
      <c r="O184" s="18">
        <f t="shared" si="199"/>
        <v>23556615</v>
      </c>
      <c r="P184" s="18">
        <f t="shared" si="144"/>
        <v>14133.975</v>
      </c>
      <c r="Q184" s="18">
        <f t="shared" si="145"/>
        <v>78253</v>
      </c>
      <c r="R184" s="16" t="s">
        <v>526</v>
      </c>
      <c r="S184" s="4">
        <f t="shared" si="146"/>
        <v>160010054</v>
      </c>
      <c r="W184" s="4"/>
      <c r="X184" s="4"/>
      <c r="AD184" s="4" t="s">
        <v>527</v>
      </c>
      <c r="AE184" s="4">
        <v>160030004</v>
      </c>
    </row>
    <row r="185" s="2" customFormat="1" spans="1:31">
      <c r="A185" s="4">
        <v>183</v>
      </c>
      <c r="B185" s="5" t="s">
        <v>354</v>
      </c>
      <c r="C185" s="4" t="s">
        <v>507</v>
      </c>
      <c r="D185" s="22" t="s">
        <v>41</v>
      </c>
      <c r="E185" s="4">
        <v>16</v>
      </c>
      <c r="F185" s="31">
        <v>4</v>
      </c>
      <c r="G185" s="31">
        <v>3</v>
      </c>
      <c r="H185" s="6">
        <f t="shared" si="140"/>
        <v>0.7</v>
      </c>
      <c r="I185" s="4">
        <f t="shared" si="141"/>
        <v>838496</v>
      </c>
      <c r="J185" s="13">
        <f>ROUND(VLOOKUP(D185,[1]物品容器!$T$3:$U$8,2,FALSE)*M185,0)</f>
        <v>99821</v>
      </c>
      <c r="K185" s="18">
        <f t="shared" si="142"/>
        <v>69875</v>
      </c>
      <c r="L185" s="18">
        <f t="shared" ref="L185:O185" si="200">ROUND($I185*L$2,0)</f>
        <v>503098</v>
      </c>
      <c r="M185" s="19">
        <v>0.99821</v>
      </c>
      <c r="N185" s="18">
        <f t="shared" si="200"/>
        <v>125774</v>
      </c>
      <c r="O185" s="18">
        <f t="shared" si="200"/>
        <v>12577440</v>
      </c>
      <c r="P185" s="18">
        <f t="shared" si="144"/>
        <v>7546.47</v>
      </c>
      <c r="Q185" s="18">
        <f t="shared" si="145"/>
        <v>41781</v>
      </c>
      <c r="R185" s="2" t="s">
        <v>528</v>
      </c>
      <c r="S185" s="4">
        <f t="shared" si="146"/>
        <v>160010032</v>
      </c>
      <c r="W185" s="4"/>
      <c r="X185" s="4"/>
      <c r="AD185" s="4" t="s">
        <v>529</v>
      </c>
      <c r="AE185" s="4">
        <v>160030005</v>
      </c>
    </row>
    <row r="186" s="2" customFormat="1" spans="1:31">
      <c r="A186" s="4">
        <v>184</v>
      </c>
      <c r="B186" s="5" t="s">
        <v>336</v>
      </c>
      <c r="C186" s="4" t="s">
        <v>507</v>
      </c>
      <c r="D186" s="22" t="s">
        <v>41</v>
      </c>
      <c r="E186" s="4">
        <v>17</v>
      </c>
      <c r="F186" s="32">
        <v>1</v>
      </c>
      <c r="G186" s="32">
        <v>1</v>
      </c>
      <c r="H186" s="6">
        <f t="shared" si="140"/>
        <v>1</v>
      </c>
      <c r="I186" s="4">
        <f t="shared" si="141"/>
        <v>100751</v>
      </c>
      <c r="J186" s="13">
        <f>ROUND(VLOOKUP(D186,[1]物品容器!$T$3:$U$8,2,FALSE)*M186,0)</f>
        <v>100751</v>
      </c>
      <c r="K186" s="18">
        <f t="shared" si="142"/>
        <v>100751</v>
      </c>
      <c r="L186" s="18">
        <f t="shared" ref="L186:O186" si="201">ROUND($I186*L$2,0)</f>
        <v>60451</v>
      </c>
      <c r="M186" s="19">
        <v>1.00751</v>
      </c>
      <c r="N186" s="18">
        <f t="shared" si="201"/>
        <v>15113</v>
      </c>
      <c r="O186" s="18">
        <f t="shared" si="201"/>
        <v>1511265</v>
      </c>
      <c r="P186" s="18">
        <f t="shared" si="144"/>
        <v>906.765</v>
      </c>
      <c r="Q186" s="18">
        <f t="shared" si="145"/>
        <v>5020</v>
      </c>
      <c r="R186" s="2" t="s">
        <v>530</v>
      </c>
      <c r="S186" s="4">
        <f t="shared" si="146"/>
        <v>160010026</v>
      </c>
      <c r="W186" s="4"/>
      <c r="X186" s="4"/>
      <c r="AD186" s="4" t="s">
        <v>531</v>
      </c>
      <c r="AE186" s="4">
        <v>160030006</v>
      </c>
    </row>
    <row r="187" s="2" customFormat="1" spans="1:31">
      <c r="A187" s="4">
        <v>185</v>
      </c>
      <c r="B187" s="5" t="s">
        <v>357</v>
      </c>
      <c r="C187" s="4" t="s">
        <v>507</v>
      </c>
      <c r="D187" s="22" t="s">
        <v>41</v>
      </c>
      <c r="E187" s="4">
        <v>18</v>
      </c>
      <c r="F187" s="31">
        <v>2</v>
      </c>
      <c r="G187" s="31">
        <v>2</v>
      </c>
      <c r="H187" s="6">
        <f t="shared" si="140"/>
        <v>0.91</v>
      </c>
      <c r="I187" s="4">
        <f t="shared" si="141"/>
        <v>361379</v>
      </c>
      <c r="J187" s="13">
        <f>ROUND(VLOOKUP(D187,[1]物品容器!$T$3:$U$8,2,FALSE)*M187,0)</f>
        <v>99280</v>
      </c>
      <c r="K187" s="18">
        <f t="shared" si="142"/>
        <v>90345</v>
      </c>
      <c r="L187" s="18">
        <f t="shared" ref="L187:O187" si="202">ROUND($I187*L$2,0)</f>
        <v>216827</v>
      </c>
      <c r="M187" s="19">
        <v>0.9928</v>
      </c>
      <c r="N187" s="18">
        <f t="shared" si="202"/>
        <v>54207</v>
      </c>
      <c r="O187" s="18">
        <f t="shared" si="202"/>
        <v>5420685</v>
      </c>
      <c r="P187" s="18">
        <f t="shared" si="144"/>
        <v>3252.405</v>
      </c>
      <c r="Q187" s="18">
        <f t="shared" si="145"/>
        <v>18007</v>
      </c>
      <c r="R187" s="2" t="s">
        <v>532</v>
      </c>
      <c r="S187" s="4">
        <f t="shared" si="146"/>
        <v>160010033</v>
      </c>
      <c r="W187" s="4"/>
      <c r="X187" s="4"/>
      <c r="AD187" s="4" t="s">
        <v>533</v>
      </c>
      <c r="AE187" s="4">
        <v>160030007</v>
      </c>
    </row>
    <row r="188" s="2" customFormat="1" spans="1:31">
      <c r="A188" s="4">
        <v>186</v>
      </c>
      <c r="B188" s="5" t="s">
        <v>360</v>
      </c>
      <c r="C188" s="4" t="s">
        <v>507</v>
      </c>
      <c r="D188" s="22" t="s">
        <v>41</v>
      </c>
      <c r="E188" s="4">
        <v>19</v>
      </c>
      <c r="F188" s="31">
        <v>2</v>
      </c>
      <c r="G188" s="31">
        <v>2</v>
      </c>
      <c r="H188" s="6">
        <f t="shared" si="140"/>
        <v>0.91</v>
      </c>
      <c r="I188" s="4">
        <f t="shared" si="141"/>
        <v>362366</v>
      </c>
      <c r="J188" s="13">
        <f>ROUND(VLOOKUP(D188,[1]物品容器!$T$3:$U$8,2,FALSE)*M188,0)</f>
        <v>99551</v>
      </c>
      <c r="K188" s="18">
        <f t="shared" si="142"/>
        <v>90591</v>
      </c>
      <c r="L188" s="18">
        <f t="shared" ref="L188:O188" si="203">ROUND($I188*L$2,0)</f>
        <v>217420</v>
      </c>
      <c r="M188" s="19">
        <v>0.99551</v>
      </c>
      <c r="N188" s="18">
        <f t="shared" si="203"/>
        <v>54355</v>
      </c>
      <c r="O188" s="18">
        <f t="shared" si="203"/>
        <v>5435490</v>
      </c>
      <c r="P188" s="18">
        <f t="shared" si="144"/>
        <v>3261.3</v>
      </c>
      <c r="Q188" s="18">
        <f t="shared" si="145"/>
        <v>18056</v>
      </c>
      <c r="R188" s="2" t="s">
        <v>534</v>
      </c>
      <c r="S188" s="4">
        <f t="shared" si="146"/>
        <v>160010034</v>
      </c>
      <c r="W188" s="4"/>
      <c r="X188" s="4"/>
      <c r="AD188" s="4" t="s">
        <v>535</v>
      </c>
      <c r="AE188" s="4">
        <v>160030008</v>
      </c>
    </row>
    <row r="189" s="2" customFormat="1" spans="1:31">
      <c r="A189" s="4">
        <v>187</v>
      </c>
      <c r="B189" s="5" t="s">
        <v>369</v>
      </c>
      <c r="C189" s="4" t="s">
        <v>507</v>
      </c>
      <c r="D189" s="22" t="s">
        <v>41</v>
      </c>
      <c r="E189" s="4">
        <v>20</v>
      </c>
      <c r="F189" s="31">
        <v>1</v>
      </c>
      <c r="G189" s="31">
        <v>1</v>
      </c>
      <c r="H189" s="6">
        <f t="shared" si="140"/>
        <v>1</v>
      </c>
      <c r="I189" s="4">
        <f t="shared" si="141"/>
        <v>100942</v>
      </c>
      <c r="J189" s="13">
        <f>ROUND(VLOOKUP(D189,[1]物品容器!$T$3:$U$8,2,FALSE)*M189,0)</f>
        <v>100942</v>
      </c>
      <c r="K189" s="18">
        <f t="shared" si="142"/>
        <v>100942</v>
      </c>
      <c r="L189" s="18">
        <f t="shared" ref="L189:O189" si="204">ROUND($I189*L$2,0)</f>
        <v>60565</v>
      </c>
      <c r="M189" s="19">
        <v>1.00942</v>
      </c>
      <c r="N189" s="18">
        <f t="shared" si="204"/>
        <v>15141</v>
      </c>
      <c r="O189" s="18">
        <f t="shared" si="204"/>
        <v>1514130</v>
      </c>
      <c r="P189" s="18">
        <f t="shared" si="144"/>
        <v>908.475</v>
      </c>
      <c r="Q189" s="18">
        <f t="shared" si="145"/>
        <v>5030</v>
      </c>
      <c r="R189" s="2" t="s">
        <v>536</v>
      </c>
      <c r="S189" s="4">
        <f t="shared" si="146"/>
        <v>160010037</v>
      </c>
      <c r="W189" s="4"/>
      <c r="X189" s="4"/>
      <c r="AD189" s="4" t="s">
        <v>537</v>
      </c>
      <c r="AE189" s="4">
        <v>160030009</v>
      </c>
    </row>
    <row r="190" s="2" customFormat="1" spans="1:31">
      <c r="A190" s="4">
        <v>188</v>
      </c>
      <c r="B190" s="5" t="s">
        <v>372</v>
      </c>
      <c r="C190" s="4" t="s">
        <v>507</v>
      </c>
      <c r="D190" s="22" t="s">
        <v>41</v>
      </c>
      <c r="E190" s="4">
        <v>21</v>
      </c>
      <c r="F190" s="31">
        <v>1</v>
      </c>
      <c r="G190" s="31">
        <v>2</v>
      </c>
      <c r="H190" s="6">
        <f t="shared" si="140"/>
        <v>0.97</v>
      </c>
      <c r="I190" s="4">
        <f t="shared" si="141"/>
        <v>193476</v>
      </c>
      <c r="J190" s="13">
        <f>ROUND(VLOOKUP(D190,[1]物品容器!$T$3:$U$8,2,FALSE)*M190,0)</f>
        <v>99730</v>
      </c>
      <c r="K190" s="18">
        <f t="shared" si="142"/>
        <v>96738</v>
      </c>
      <c r="L190" s="18">
        <f t="shared" ref="L190:O190" si="205">ROUND($I190*L$2,0)</f>
        <v>116086</v>
      </c>
      <c r="M190" s="19">
        <v>0.9973</v>
      </c>
      <c r="N190" s="18">
        <f t="shared" si="205"/>
        <v>29021</v>
      </c>
      <c r="O190" s="18">
        <f t="shared" si="205"/>
        <v>2902140</v>
      </c>
      <c r="P190" s="18">
        <f t="shared" si="144"/>
        <v>1741.29</v>
      </c>
      <c r="Q190" s="18">
        <f t="shared" si="145"/>
        <v>9641</v>
      </c>
      <c r="R190" s="2" t="s">
        <v>538</v>
      </c>
      <c r="S190" s="4">
        <f t="shared" si="146"/>
        <v>160010038</v>
      </c>
      <c r="W190" s="4"/>
      <c r="X190" s="4"/>
      <c r="AD190" s="4" t="s">
        <v>539</v>
      </c>
      <c r="AE190" s="4">
        <v>160030010</v>
      </c>
    </row>
    <row r="191" s="2" customFormat="1" spans="1:31">
      <c r="A191" s="4">
        <v>189</v>
      </c>
      <c r="B191" s="5" t="s">
        <v>375</v>
      </c>
      <c r="C191" s="4" t="s">
        <v>507</v>
      </c>
      <c r="D191" s="22" t="s">
        <v>41</v>
      </c>
      <c r="E191" s="4">
        <v>22</v>
      </c>
      <c r="F191" s="31">
        <v>2</v>
      </c>
      <c r="G191" s="31">
        <v>2</v>
      </c>
      <c r="H191" s="6">
        <f t="shared" si="140"/>
        <v>0.91</v>
      </c>
      <c r="I191" s="4">
        <f t="shared" si="141"/>
        <v>367625</v>
      </c>
      <c r="J191" s="13">
        <f>ROUND(VLOOKUP(D191,[1]物品容器!$T$3:$U$8,2,FALSE)*M191,0)</f>
        <v>100996</v>
      </c>
      <c r="K191" s="18">
        <f t="shared" si="142"/>
        <v>91906</v>
      </c>
      <c r="L191" s="18">
        <f t="shared" ref="L191:O191" si="206">ROUND($I191*L$2,0)</f>
        <v>220575</v>
      </c>
      <c r="M191" s="19">
        <v>1.00996</v>
      </c>
      <c r="N191" s="18">
        <f t="shared" si="206"/>
        <v>55144</v>
      </c>
      <c r="O191" s="18">
        <f t="shared" si="206"/>
        <v>5514375</v>
      </c>
      <c r="P191" s="18">
        <f t="shared" si="144"/>
        <v>3308.625</v>
      </c>
      <c r="Q191" s="18">
        <f t="shared" si="145"/>
        <v>18318</v>
      </c>
      <c r="R191" s="2" t="s">
        <v>540</v>
      </c>
      <c r="S191" s="4">
        <f t="shared" si="146"/>
        <v>160010039</v>
      </c>
      <c r="W191" s="4"/>
      <c r="X191" s="4"/>
      <c r="AD191" s="4" t="s">
        <v>541</v>
      </c>
      <c r="AE191" s="4">
        <v>160030011</v>
      </c>
    </row>
    <row r="192" s="2" customFormat="1" spans="1:31">
      <c r="A192" s="4">
        <v>190</v>
      </c>
      <c r="B192" s="5" t="s">
        <v>363</v>
      </c>
      <c r="C192" s="4" t="s">
        <v>507</v>
      </c>
      <c r="D192" s="22" t="s">
        <v>41</v>
      </c>
      <c r="E192" s="4">
        <v>23</v>
      </c>
      <c r="F192" s="31">
        <v>2</v>
      </c>
      <c r="G192" s="31">
        <v>2</v>
      </c>
      <c r="H192" s="6">
        <f t="shared" si="140"/>
        <v>0.91</v>
      </c>
      <c r="I192" s="4">
        <f t="shared" si="141"/>
        <v>360364</v>
      </c>
      <c r="J192" s="13">
        <f>ROUND(VLOOKUP(D192,[1]物品容器!$T$3:$U$8,2,FALSE)*M192,0)</f>
        <v>99001</v>
      </c>
      <c r="K192" s="18">
        <f t="shared" si="142"/>
        <v>90091</v>
      </c>
      <c r="L192" s="18">
        <f t="shared" ref="L192:O192" si="207">ROUND($I192*L$2,0)</f>
        <v>216218</v>
      </c>
      <c r="M192" s="19">
        <v>0.99001</v>
      </c>
      <c r="N192" s="18">
        <f t="shared" si="207"/>
        <v>54055</v>
      </c>
      <c r="O192" s="18">
        <f t="shared" si="207"/>
        <v>5405460</v>
      </c>
      <c r="P192" s="18">
        <f t="shared" si="144"/>
        <v>3243.27</v>
      </c>
      <c r="Q192" s="18">
        <f t="shared" si="145"/>
        <v>17957</v>
      </c>
      <c r="R192" s="2" t="s">
        <v>542</v>
      </c>
      <c r="S192" s="4">
        <f t="shared" si="146"/>
        <v>160010035</v>
      </c>
      <c r="W192" s="4"/>
      <c r="X192" s="4"/>
      <c r="AD192" s="4" t="s">
        <v>543</v>
      </c>
      <c r="AE192" s="4">
        <v>160030012</v>
      </c>
    </row>
    <row r="193" s="2" customFormat="1" spans="1:31">
      <c r="A193" s="4">
        <v>191</v>
      </c>
      <c r="B193" s="5" t="s">
        <v>339</v>
      </c>
      <c r="C193" s="4" t="s">
        <v>507</v>
      </c>
      <c r="D193" s="22" t="s">
        <v>41</v>
      </c>
      <c r="E193" s="4">
        <v>24</v>
      </c>
      <c r="F193" s="31">
        <v>1</v>
      </c>
      <c r="G193" s="32">
        <v>2</v>
      </c>
      <c r="H193" s="6">
        <f t="shared" si="140"/>
        <v>0.97</v>
      </c>
      <c r="I193" s="4">
        <f t="shared" si="141"/>
        <v>195090</v>
      </c>
      <c r="J193" s="13">
        <f>ROUND(VLOOKUP(D193,[1]物品容器!$T$3:$U$8,2,FALSE)*M193,0)</f>
        <v>100562</v>
      </c>
      <c r="K193" s="18">
        <f t="shared" si="142"/>
        <v>97545</v>
      </c>
      <c r="L193" s="18">
        <f t="shared" ref="L193:O193" si="208">ROUND($I193*L$2,0)</f>
        <v>117054</v>
      </c>
      <c r="M193" s="19">
        <v>1.00562</v>
      </c>
      <c r="N193" s="18">
        <f t="shared" si="208"/>
        <v>29264</v>
      </c>
      <c r="O193" s="18">
        <f t="shared" si="208"/>
        <v>2926350</v>
      </c>
      <c r="P193" s="18">
        <f t="shared" si="144"/>
        <v>1755.81</v>
      </c>
      <c r="Q193" s="18">
        <f t="shared" si="145"/>
        <v>9721</v>
      </c>
      <c r="R193" s="2" t="s">
        <v>544</v>
      </c>
      <c r="S193" s="4">
        <f t="shared" si="146"/>
        <v>160010027</v>
      </c>
      <c r="W193" s="4"/>
      <c r="X193" s="4"/>
      <c r="AD193" s="4" t="s">
        <v>545</v>
      </c>
      <c r="AE193" s="4">
        <v>160030013</v>
      </c>
    </row>
    <row r="194" s="2" customFormat="1" ht="15" customHeight="1" spans="1:31">
      <c r="A194" s="4">
        <v>192</v>
      </c>
      <c r="B194" s="5" t="s">
        <v>342</v>
      </c>
      <c r="C194" s="4" t="s">
        <v>507</v>
      </c>
      <c r="D194" s="22" t="s">
        <v>41</v>
      </c>
      <c r="E194" s="4">
        <v>25</v>
      </c>
      <c r="F194" s="32">
        <v>2</v>
      </c>
      <c r="G194" s="32">
        <v>2</v>
      </c>
      <c r="H194" s="6">
        <f t="shared" si="140"/>
        <v>0.91</v>
      </c>
      <c r="I194" s="4">
        <f t="shared" si="141"/>
        <v>361110</v>
      </c>
      <c r="J194" s="13">
        <f>ROUND(VLOOKUP(D194,[1]物品容器!$T$3:$U$8,2,FALSE)*M194,0)</f>
        <v>99206</v>
      </c>
      <c r="K194" s="18">
        <f t="shared" si="142"/>
        <v>90277</v>
      </c>
      <c r="L194" s="18">
        <f t="shared" ref="L194:O194" si="209">ROUND($I194*L$2,0)</f>
        <v>216666</v>
      </c>
      <c r="M194" s="19">
        <v>0.99206</v>
      </c>
      <c r="N194" s="18">
        <f t="shared" si="209"/>
        <v>54167</v>
      </c>
      <c r="O194" s="18">
        <f t="shared" si="209"/>
        <v>5416650</v>
      </c>
      <c r="P194" s="18">
        <f t="shared" si="144"/>
        <v>3249.99</v>
      </c>
      <c r="Q194" s="18">
        <f t="shared" si="145"/>
        <v>17994</v>
      </c>
      <c r="R194" s="2" t="s">
        <v>546</v>
      </c>
      <c r="S194" s="4">
        <f t="shared" si="146"/>
        <v>160010028</v>
      </c>
      <c r="W194" s="4"/>
      <c r="X194" s="4"/>
      <c r="AD194" s="4" t="s">
        <v>547</v>
      </c>
      <c r="AE194" s="4">
        <v>160030014</v>
      </c>
    </row>
    <row r="195" s="2" customFormat="1" ht="15" customHeight="1" spans="1:31">
      <c r="A195" s="4">
        <v>193</v>
      </c>
      <c r="B195" s="5" t="s">
        <v>366</v>
      </c>
      <c r="C195" s="4" t="s">
        <v>507</v>
      </c>
      <c r="D195" s="22" t="s">
        <v>41</v>
      </c>
      <c r="E195" s="4">
        <v>26</v>
      </c>
      <c r="F195" s="31">
        <v>2</v>
      </c>
      <c r="G195" s="31">
        <v>2</v>
      </c>
      <c r="H195" s="6">
        <f t="shared" ref="H195:H258" si="210">VLOOKUP(F195*G195,$T$3:$U$11,2,FALSE)</f>
        <v>0.91</v>
      </c>
      <c r="I195" s="4">
        <f t="shared" ref="I195:I258" si="211">ROUND(F195*G195*J195*H195,0)</f>
        <v>365904</v>
      </c>
      <c r="J195" s="13">
        <f>ROUND(VLOOKUP(D195,[1]物品容器!$T$3:$U$8,2,FALSE)*M195,0)</f>
        <v>100523</v>
      </c>
      <c r="K195" s="18">
        <f t="shared" ref="K195:K258" si="212">ROUND(J195*H195,0)</f>
        <v>91476</v>
      </c>
      <c r="L195" s="18">
        <f t="shared" ref="L195:O195" si="213">ROUND($I195*L$2,0)</f>
        <v>219542</v>
      </c>
      <c r="M195" s="19">
        <v>1.00523</v>
      </c>
      <c r="N195" s="18">
        <f t="shared" si="213"/>
        <v>54886</v>
      </c>
      <c r="O195" s="18">
        <f t="shared" si="213"/>
        <v>5488560</v>
      </c>
      <c r="P195" s="18">
        <f t="shared" ref="P195:P258" si="214">L195*1.5%</f>
        <v>3293.13</v>
      </c>
      <c r="Q195" s="18">
        <f t="shared" ref="Q195:Q258" si="215">ROUND((O195-N195)*$Q$2,0)</f>
        <v>18233</v>
      </c>
      <c r="R195" s="2" t="s">
        <v>548</v>
      </c>
      <c r="S195" s="4">
        <f t="shared" ref="S195:S258" si="216">VLOOKUP(B195,$AD:$AE,2,FALSE)</f>
        <v>160010036</v>
      </c>
      <c r="W195" s="4"/>
      <c r="X195" s="4"/>
      <c r="AD195" s="4" t="s">
        <v>549</v>
      </c>
      <c r="AE195" s="4">
        <v>160030015</v>
      </c>
    </row>
    <row r="196" s="2" customFormat="1" ht="15" customHeight="1" spans="1:31">
      <c r="A196" s="4">
        <v>194</v>
      </c>
      <c r="B196" s="5" t="s">
        <v>345</v>
      </c>
      <c r="C196" s="4" t="s">
        <v>507</v>
      </c>
      <c r="D196" s="22" t="s">
        <v>41</v>
      </c>
      <c r="E196" s="4">
        <v>27</v>
      </c>
      <c r="F196" s="31">
        <v>1</v>
      </c>
      <c r="G196" s="31">
        <v>1</v>
      </c>
      <c r="H196" s="6">
        <f t="shared" si="210"/>
        <v>1</v>
      </c>
      <c r="I196" s="4">
        <f t="shared" si="211"/>
        <v>99929</v>
      </c>
      <c r="J196" s="13">
        <f>ROUND(VLOOKUP(D196,[1]物品容器!$T$3:$U$8,2,FALSE)*M196,0)</f>
        <v>99929</v>
      </c>
      <c r="K196" s="18">
        <f t="shared" si="212"/>
        <v>99929</v>
      </c>
      <c r="L196" s="18">
        <f t="shared" ref="L196:O196" si="217">ROUND($I196*L$2,0)</f>
        <v>59957</v>
      </c>
      <c r="M196" s="19">
        <v>0.99929</v>
      </c>
      <c r="N196" s="18">
        <f t="shared" si="217"/>
        <v>14989</v>
      </c>
      <c r="O196" s="18">
        <f t="shared" si="217"/>
        <v>1498935</v>
      </c>
      <c r="P196" s="18">
        <f t="shared" si="214"/>
        <v>899.355</v>
      </c>
      <c r="Q196" s="18">
        <f t="shared" si="215"/>
        <v>4979</v>
      </c>
      <c r="R196" s="2" t="s">
        <v>550</v>
      </c>
      <c r="S196" s="4">
        <f t="shared" si="216"/>
        <v>160010029</v>
      </c>
      <c r="W196" s="4"/>
      <c r="X196" s="4"/>
      <c r="AD196" s="4" t="s">
        <v>551</v>
      </c>
      <c r="AE196" s="4">
        <v>160030016</v>
      </c>
    </row>
    <row r="197" s="2" customFormat="1" spans="1:31">
      <c r="A197" s="4">
        <v>195</v>
      </c>
      <c r="B197" s="29" t="s">
        <v>348</v>
      </c>
      <c r="C197" s="4" t="s">
        <v>507</v>
      </c>
      <c r="D197" s="22" t="s">
        <v>41</v>
      </c>
      <c r="E197" s="4">
        <v>28</v>
      </c>
      <c r="F197" s="31">
        <v>2</v>
      </c>
      <c r="G197" s="32">
        <v>1</v>
      </c>
      <c r="H197" s="6">
        <f t="shared" si="210"/>
        <v>0.97</v>
      </c>
      <c r="I197" s="4">
        <f t="shared" si="211"/>
        <v>192533</v>
      </c>
      <c r="J197" s="13">
        <f>ROUND(VLOOKUP(D197,[1]物品容器!$T$3:$U$8,2,FALSE)*M197,0)</f>
        <v>99244</v>
      </c>
      <c r="K197" s="18">
        <f t="shared" si="212"/>
        <v>96267</v>
      </c>
      <c r="L197" s="18">
        <f t="shared" ref="L197:O197" si="218">ROUND($I197*L$2,0)</f>
        <v>115520</v>
      </c>
      <c r="M197" s="19">
        <v>0.99244</v>
      </c>
      <c r="N197" s="18">
        <f t="shared" si="218"/>
        <v>28880</v>
      </c>
      <c r="O197" s="18">
        <f t="shared" si="218"/>
        <v>2887995</v>
      </c>
      <c r="P197" s="18">
        <f t="shared" si="214"/>
        <v>1732.8</v>
      </c>
      <c r="Q197" s="18">
        <f t="shared" si="215"/>
        <v>9594</v>
      </c>
      <c r="R197" s="2" t="s">
        <v>552</v>
      </c>
      <c r="S197" s="4">
        <f t="shared" si="216"/>
        <v>160010030</v>
      </c>
      <c r="W197" s="4"/>
      <c r="X197" s="4"/>
      <c r="AD197" s="4" t="s">
        <v>553</v>
      </c>
      <c r="AE197" s="4">
        <v>160030017</v>
      </c>
    </row>
    <row r="198" s="2" customFormat="1" spans="1:31">
      <c r="A198" s="4">
        <v>196</v>
      </c>
      <c r="B198" s="29" t="s">
        <v>351</v>
      </c>
      <c r="C198" s="4" t="s">
        <v>507</v>
      </c>
      <c r="D198" s="22" t="s">
        <v>41</v>
      </c>
      <c r="E198" s="4">
        <v>29</v>
      </c>
      <c r="F198" s="32">
        <v>2</v>
      </c>
      <c r="G198" s="32">
        <v>2</v>
      </c>
      <c r="H198" s="6">
        <f t="shared" si="210"/>
        <v>0.91</v>
      </c>
      <c r="I198" s="4">
        <f t="shared" si="211"/>
        <v>363308</v>
      </c>
      <c r="J198" s="13">
        <f>ROUND(VLOOKUP(D198,[1]物品容器!$T$3:$U$8,2,FALSE)*M198,0)</f>
        <v>99810</v>
      </c>
      <c r="K198" s="18">
        <f t="shared" si="212"/>
        <v>90827</v>
      </c>
      <c r="L198" s="18">
        <f t="shared" ref="L198:O198" si="219">ROUND($I198*L$2,0)</f>
        <v>217985</v>
      </c>
      <c r="M198" s="19">
        <v>0.9981</v>
      </c>
      <c r="N198" s="18">
        <f t="shared" si="219"/>
        <v>54496</v>
      </c>
      <c r="O198" s="18">
        <f t="shared" si="219"/>
        <v>5449620</v>
      </c>
      <c r="P198" s="18">
        <f t="shared" si="214"/>
        <v>3269.775</v>
      </c>
      <c r="Q198" s="18">
        <f t="shared" si="215"/>
        <v>18103</v>
      </c>
      <c r="R198" s="2" t="s">
        <v>554</v>
      </c>
      <c r="S198" s="4">
        <f t="shared" si="216"/>
        <v>160010031</v>
      </c>
      <c r="W198" s="4"/>
      <c r="X198" s="4"/>
      <c r="AD198" s="4" t="s">
        <v>555</v>
      </c>
      <c r="AE198" s="4">
        <v>160030018</v>
      </c>
    </row>
    <row r="199" s="2" customFormat="1" spans="1:31">
      <c r="A199" s="4">
        <v>197</v>
      </c>
      <c r="B199" s="5" t="s">
        <v>315</v>
      </c>
      <c r="C199" s="4" t="s">
        <v>507</v>
      </c>
      <c r="D199" s="33" t="s">
        <v>63</v>
      </c>
      <c r="E199" s="4">
        <v>30</v>
      </c>
      <c r="F199" s="31">
        <v>2</v>
      </c>
      <c r="G199" s="32">
        <v>2</v>
      </c>
      <c r="H199" s="6">
        <f t="shared" si="210"/>
        <v>0.91</v>
      </c>
      <c r="I199" s="4">
        <f t="shared" si="211"/>
        <v>110026</v>
      </c>
      <c r="J199" s="13">
        <f>ROUND(VLOOKUP(D199,[1]物品容器!$T$3:$U$8,2,FALSE)*M199,0)</f>
        <v>30227</v>
      </c>
      <c r="K199" s="18">
        <f t="shared" si="212"/>
        <v>27507</v>
      </c>
      <c r="L199" s="18">
        <f t="shared" ref="L199:O199" si="220">ROUND($I199*L$2,0)</f>
        <v>66016</v>
      </c>
      <c r="M199" s="19">
        <v>1.00758</v>
      </c>
      <c r="N199" s="18">
        <f t="shared" si="220"/>
        <v>16504</v>
      </c>
      <c r="O199" s="18">
        <f t="shared" si="220"/>
        <v>1650390</v>
      </c>
      <c r="P199" s="18">
        <f t="shared" si="214"/>
        <v>990.24</v>
      </c>
      <c r="Q199" s="18">
        <f t="shared" si="215"/>
        <v>5482</v>
      </c>
      <c r="R199" s="2" t="s">
        <v>556</v>
      </c>
      <c r="S199" s="4">
        <f t="shared" si="216"/>
        <v>160010019</v>
      </c>
      <c r="W199" s="4"/>
      <c r="X199" s="4"/>
      <c r="AD199" s="4" t="s">
        <v>557</v>
      </c>
      <c r="AE199" s="4">
        <v>160030019</v>
      </c>
    </row>
    <row r="200" s="2" customFormat="1" spans="1:31">
      <c r="A200" s="4">
        <v>198</v>
      </c>
      <c r="B200" s="5" t="s">
        <v>321</v>
      </c>
      <c r="C200" s="4" t="s">
        <v>507</v>
      </c>
      <c r="D200" s="33" t="s">
        <v>63</v>
      </c>
      <c r="E200" s="4">
        <v>31</v>
      </c>
      <c r="F200" s="31">
        <v>2</v>
      </c>
      <c r="G200" s="31">
        <v>2</v>
      </c>
      <c r="H200" s="6">
        <f t="shared" si="210"/>
        <v>0.91</v>
      </c>
      <c r="I200" s="4">
        <f t="shared" si="211"/>
        <v>108629</v>
      </c>
      <c r="J200" s="13">
        <f>ROUND(VLOOKUP(D200,[1]物品容器!$T$3:$U$8,2,FALSE)*M200,0)</f>
        <v>29843</v>
      </c>
      <c r="K200" s="18">
        <f t="shared" si="212"/>
        <v>27157</v>
      </c>
      <c r="L200" s="18">
        <f t="shared" ref="L200:O200" si="221">ROUND($I200*L$2,0)</f>
        <v>65177</v>
      </c>
      <c r="M200" s="19">
        <v>0.99478</v>
      </c>
      <c r="N200" s="18">
        <f t="shared" si="221"/>
        <v>16294</v>
      </c>
      <c r="O200" s="18">
        <f t="shared" si="221"/>
        <v>1629435</v>
      </c>
      <c r="P200" s="18">
        <f t="shared" si="214"/>
        <v>977.655</v>
      </c>
      <c r="Q200" s="18">
        <f t="shared" si="215"/>
        <v>5413</v>
      </c>
      <c r="R200" s="2" t="s">
        <v>558</v>
      </c>
      <c r="S200" s="4">
        <f t="shared" si="216"/>
        <v>160010021</v>
      </c>
      <c r="W200" s="4"/>
      <c r="X200" s="4"/>
      <c r="AD200" s="4" t="s">
        <v>559</v>
      </c>
      <c r="AE200" s="4">
        <v>160030020</v>
      </c>
    </row>
    <row r="201" s="2" customFormat="1" spans="1:31">
      <c r="A201" s="4">
        <v>199</v>
      </c>
      <c r="B201" s="5" t="s">
        <v>324</v>
      </c>
      <c r="C201" s="4" t="s">
        <v>507</v>
      </c>
      <c r="D201" s="33" t="s">
        <v>63</v>
      </c>
      <c r="E201" s="4">
        <v>32</v>
      </c>
      <c r="F201" s="31">
        <v>2</v>
      </c>
      <c r="G201" s="31">
        <v>2</v>
      </c>
      <c r="H201" s="6">
        <f t="shared" si="210"/>
        <v>0.91</v>
      </c>
      <c r="I201" s="4">
        <f t="shared" si="211"/>
        <v>110208</v>
      </c>
      <c r="J201" s="13">
        <f>ROUND(VLOOKUP(D201,[1]物品容器!$T$3:$U$8,2,FALSE)*M201,0)</f>
        <v>30277</v>
      </c>
      <c r="K201" s="18">
        <f t="shared" si="212"/>
        <v>27552</v>
      </c>
      <c r="L201" s="18">
        <f t="shared" ref="L201:O201" si="222">ROUND($I201*L$2,0)</f>
        <v>66125</v>
      </c>
      <c r="M201" s="19">
        <v>1.00924</v>
      </c>
      <c r="N201" s="18">
        <f t="shared" si="222"/>
        <v>16531</v>
      </c>
      <c r="O201" s="18">
        <f t="shared" si="222"/>
        <v>1653120</v>
      </c>
      <c r="P201" s="18">
        <f t="shared" si="214"/>
        <v>991.875</v>
      </c>
      <c r="Q201" s="18">
        <f t="shared" si="215"/>
        <v>5492</v>
      </c>
      <c r="R201" s="2" t="s">
        <v>560</v>
      </c>
      <c r="S201" s="4">
        <f t="shared" si="216"/>
        <v>160010022</v>
      </c>
      <c r="W201" s="4"/>
      <c r="X201" s="4"/>
      <c r="AD201" s="4" t="s">
        <v>561</v>
      </c>
      <c r="AE201" s="4">
        <v>160030021</v>
      </c>
    </row>
    <row r="202" s="2" customFormat="1" spans="1:31">
      <c r="A202" s="4">
        <v>200</v>
      </c>
      <c r="B202" s="5" t="s">
        <v>312</v>
      </c>
      <c r="C202" s="4" t="s">
        <v>507</v>
      </c>
      <c r="D202" s="33" t="s">
        <v>63</v>
      </c>
      <c r="E202" s="4">
        <v>33</v>
      </c>
      <c r="F202" s="31">
        <v>2</v>
      </c>
      <c r="G202" s="32">
        <v>1</v>
      </c>
      <c r="H202" s="6">
        <f t="shared" si="210"/>
        <v>0.97</v>
      </c>
      <c r="I202" s="4">
        <f t="shared" si="211"/>
        <v>58402</v>
      </c>
      <c r="J202" s="13">
        <f>ROUND(VLOOKUP(D202,[1]物品容器!$T$3:$U$8,2,FALSE)*M202,0)</f>
        <v>30104</v>
      </c>
      <c r="K202" s="18">
        <f t="shared" si="212"/>
        <v>29201</v>
      </c>
      <c r="L202" s="18">
        <f t="shared" ref="L202:O202" si="223">ROUND($I202*L$2,0)</f>
        <v>35041</v>
      </c>
      <c r="M202" s="19">
        <v>1.00347</v>
      </c>
      <c r="N202" s="18">
        <f t="shared" si="223"/>
        <v>8760</v>
      </c>
      <c r="O202" s="18">
        <f t="shared" si="223"/>
        <v>876030</v>
      </c>
      <c r="P202" s="18">
        <f t="shared" si="214"/>
        <v>525.615</v>
      </c>
      <c r="Q202" s="18">
        <f t="shared" si="215"/>
        <v>2910</v>
      </c>
      <c r="R202" s="2" t="s">
        <v>562</v>
      </c>
      <c r="S202" s="4">
        <f t="shared" si="216"/>
        <v>160010018</v>
      </c>
      <c r="W202" s="4"/>
      <c r="X202" s="4"/>
      <c r="AD202" s="4" t="s">
        <v>563</v>
      </c>
      <c r="AE202" s="4">
        <v>160030022</v>
      </c>
    </row>
    <row r="203" s="2" customFormat="1" spans="1:31">
      <c r="A203" s="4">
        <v>201</v>
      </c>
      <c r="B203" s="5" t="s">
        <v>318</v>
      </c>
      <c r="C203" s="4" t="s">
        <v>507</v>
      </c>
      <c r="D203" s="33" t="s">
        <v>63</v>
      </c>
      <c r="E203" s="4">
        <v>34</v>
      </c>
      <c r="F203" s="31">
        <v>1</v>
      </c>
      <c r="G203" s="32">
        <v>2</v>
      </c>
      <c r="H203" s="6">
        <f t="shared" si="210"/>
        <v>0.97</v>
      </c>
      <c r="I203" s="4">
        <f t="shared" si="211"/>
        <v>57736</v>
      </c>
      <c r="J203" s="13">
        <f>ROUND(VLOOKUP(D203,[1]物品容器!$T$3:$U$8,2,FALSE)*M203,0)</f>
        <v>29761</v>
      </c>
      <c r="K203" s="18">
        <f t="shared" si="212"/>
        <v>28868</v>
      </c>
      <c r="L203" s="18">
        <f t="shared" ref="L203:O203" si="224">ROUND($I203*L$2,0)</f>
        <v>34642</v>
      </c>
      <c r="M203" s="19">
        <v>0.99204</v>
      </c>
      <c r="N203" s="18">
        <f t="shared" si="224"/>
        <v>8660</v>
      </c>
      <c r="O203" s="18">
        <f t="shared" si="224"/>
        <v>866040</v>
      </c>
      <c r="P203" s="18">
        <f t="shared" si="214"/>
        <v>519.63</v>
      </c>
      <c r="Q203" s="18">
        <f t="shared" si="215"/>
        <v>2877</v>
      </c>
      <c r="R203" s="2" t="s">
        <v>564</v>
      </c>
      <c r="S203" s="4">
        <f t="shared" si="216"/>
        <v>160010020</v>
      </c>
      <c r="W203" s="4"/>
      <c r="X203" s="4"/>
      <c r="AD203" s="4" t="s">
        <v>565</v>
      </c>
      <c r="AE203" s="4">
        <v>160030023</v>
      </c>
    </row>
    <row r="204" s="2" customFormat="1" spans="1:31">
      <c r="A204" s="4">
        <v>202</v>
      </c>
      <c r="B204" s="5" t="s">
        <v>309</v>
      </c>
      <c r="C204" s="4" t="s">
        <v>507</v>
      </c>
      <c r="D204" s="33" t="s">
        <v>63</v>
      </c>
      <c r="E204" s="4">
        <v>35</v>
      </c>
      <c r="F204" s="32">
        <v>1</v>
      </c>
      <c r="G204" s="32">
        <v>2</v>
      </c>
      <c r="H204" s="6">
        <f t="shared" si="210"/>
        <v>0.97</v>
      </c>
      <c r="I204" s="4">
        <f t="shared" si="211"/>
        <v>58433</v>
      </c>
      <c r="J204" s="13">
        <f>ROUND(VLOOKUP(D204,[1]物品容器!$T$3:$U$8,2,FALSE)*M204,0)</f>
        <v>30120</v>
      </c>
      <c r="K204" s="18">
        <f t="shared" si="212"/>
        <v>29216</v>
      </c>
      <c r="L204" s="18">
        <f t="shared" ref="L204:O204" si="225">ROUND($I204*L$2,0)</f>
        <v>35060</v>
      </c>
      <c r="M204" s="19">
        <v>1.00399</v>
      </c>
      <c r="N204" s="18">
        <f t="shared" si="225"/>
        <v>8765</v>
      </c>
      <c r="O204" s="18">
        <f t="shared" si="225"/>
        <v>876495</v>
      </c>
      <c r="P204" s="18">
        <f t="shared" si="214"/>
        <v>525.9</v>
      </c>
      <c r="Q204" s="18">
        <f t="shared" si="215"/>
        <v>2912</v>
      </c>
      <c r="R204" s="2" t="s">
        <v>566</v>
      </c>
      <c r="S204" s="4">
        <f t="shared" si="216"/>
        <v>160010017</v>
      </c>
      <c r="W204" s="4"/>
      <c r="X204" s="4"/>
      <c r="AD204" s="4" t="s">
        <v>567</v>
      </c>
      <c r="AE204" s="4">
        <v>160030024</v>
      </c>
    </row>
    <row r="205" s="2" customFormat="1" spans="1:31">
      <c r="A205" s="4">
        <v>203</v>
      </c>
      <c r="B205" s="29" t="s">
        <v>303</v>
      </c>
      <c r="C205" s="4" t="s">
        <v>507</v>
      </c>
      <c r="D205" s="33" t="s">
        <v>63</v>
      </c>
      <c r="E205" s="4">
        <v>36</v>
      </c>
      <c r="F205" s="32">
        <v>1</v>
      </c>
      <c r="G205" s="31">
        <v>1</v>
      </c>
      <c r="H205" s="6">
        <f t="shared" si="210"/>
        <v>1</v>
      </c>
      <c r="I205" s="4">
        <f t="shared" si="211"/>
        <v>30105</v>
      </c>
      <c r="J205" s="13">
        <f>ROUND(VLOOKUP(D205,[1]物品容器!$T$3:$U$8,2,FALSE)*M205,0)</f>
        <v>30105</v>
      </c>
      <c r="K205" s="18">
        <f t="shared" si="212"/>
        <v>30105</v>
      </c>
      <c r="L205" s="18">
        <f t="shared" ref="L205:O205" si="226">ROUND($I205*L$2,0)</f>
        <v>18063</v>
      </c>
      <c r="M205" s="19">
        <v>1.00349</v>
      </c>
      <c r="N205" s="18">
        <f t="shared" si="226"/>
        <v>4516</v>
      </c>
      <c r="O205" s="18">
        <f t="shared" si="226"/>
        <v>451575</v>
      </c>
      <c r="P205" s="18">
        <f t="shared" si="214"/>
        <v>270.945</v>
      </c>
      <c r="Q205" s="18">
        <f t="shared" si="215"/>
        <v>1500</v>
      </c>
      <c r="R205" s="2" t="s">
        <v>568</v>
      </c>
      <c r="S205" s="4">
        <f t="shared" si="216"/>
        <v>160010015</v>
      </c>
      <c r="W205" s="4"/>
      <c r="X205" s="4"/>
      <c r="AD205" s="4" t="s">
        <v>569</v>
      </c>
      <c r="AE205" s="4">
        <v>160030025</v>
      </c>
    </row>
    <row r="206" s="2" customFormat="1" spans="1:31">
      <c r="A206" s="4">
        <v>204</v>
      </c>
      <c r="B206" s="29" t="s">
        <v>306</v>
      </c>
      <c r="C206" s="4" t="s">
        <v>507</v>
      </c>
      <c r="D206" s="33" t="s">
        <v>63</v>
      </c>
      <c r="E206" s="4">
        <v>37</v>
      </c>
      <c r="F206" s="31">
        <v>1</v>
      </c>
      <c r="G206" s="32">
        <v>2</v>
      </c>
      <c r="H206" s="6">
        <f t="shared" si="210"/>
        <v>0.97</v>
      </c>
      <c r="I206" s="4">
        <f t="shared" si="211"/>
        <v>57973</v>
      </c>
      <c r="J206" s="13">
        <f>ROUND(VLOOKUP(D206,[1]物品容器!$T$3:$U$8,2,FALSE)*M206,0)</f>
        <v>29883</v>
      </c>
      <c r="K206" s="18">
        <f t="shared" si="212"/>
        <v>28987</v>
      </c>
      <c r="L206" s="18">
        <f t="shared" ref="L206:O206" si="227">ROUND($I206*L$2,0)</f>
        <v>34784</v>
      </c>
      <c r="M206" s="19">
        <v>0.99609</v>
      </c>
      <c r="N206" s="18">
        <f t="shared" si="227"/>
        <v>8696</v>
      </c>
      <c r="O206" s="18">
        <f t="shared" si="227"/>
        <v>869595</v>
      </c>
      <c r="P206" s="18">
        <f t="shared" si="214"/>
        <v>521.76</v>
      </c>
      <c r="Q206" s="18">
        <f t="shared" si="215"/>
        <v>2889</v>
      </c>
      <c r="R206" s="2" t="s">
        <v>570</v>
      </c>
      <c r="S206" s="4">
        <f t="shared" si="216"/>
        <v>160010016</v>
      </c>
      <c r="W206" s="4"/>
      <c r="X206" s="4"/>
      <c r="AD206" s="4" t="s">
        <v>571</v>
      </c>
      <c r="AE206" s="4">
        <v>160030026</v>
      </c>
    </row>
    <row r="207" s="2" customFormat="1" spans="1:31">
      <c r="A207" s="4">
        <v>205</v>
      </c>
      <c r="B207" s="5" t="s">
        <v>330</v>
      </c>
      <c r="C207" s="4" t="s">
        <v>507</v>
      </c>
      <c r="D207" s="33" t="s">
        <v>63</v>
      </c>
      <c r="E207" s="4">
        <v>38</v>
      </c>
      <c r="F207" s="31">
        <v>2</v>
      </c>
      <c r="G207" s="31">
        <v>2</v>
      </c>
      <c r="H207" s="6">
        <f t="shared" si="210"/>
        <v>0.91</v>
      </c>
      <c r="I207" s="4">
        <f t="shared" si="211"/>
        <v>109939</v>
      </c>
      <c r="J207" s="13">
        <f>ROUND(VLOOKUP(D207,[1]物品容器!$T$3:$U$8,2,FALSE)*M207,0)</f>
        <v>30203</v>
      </c>
      <c r="K207" s="18">
        <f t="shared" si="212"/>
        <v>27485</v>
      </c>
      <c r="L207" s="18">
        <f t="shared" ref="L207:O207" si="228">ROUND($I207*L$2,0)</f>
        <v>65963</v>
      </c>
      <c r="M207" s="19">
        <v>1.00677</v>
      </c>
      <c r="N207" s="18">
        <f t="shared" si="228"/>
        <v>16491</v>
      </c>
      <c r="O207" s="18">
        <f t="shared" si="228"/>
        <v>1649085</v>
      </c>
      <c r="P207" s="18">
        <f t="shared" si="214"/>
        <v>989.445</v>
      </c>
      <c r="Q207" s="18">
        <f t="shared" si="215"/>
        <v>5478</v>
      </c>
      <c r="R207" s="2" t="s">
        <v>572</v>
      </c>
      <c r="S207" s="4">
        <f t="shared" si="216"/>
        <v>160010024</v>
      </c>
      <c r="W207" s="4"/>
      <c r="X207" s="4"/>
      <c r="AD207" s="4" t="s">
        <v>573</v>
      </c>
      <c r="AE207" s="4">
        <v>160030027</v>
      </c>
    </row>
    <row r="208" s="2" customFormat="1" spans="1:31">
      <c r="A208" s="4">
        <v>206</v>
      </c>
      <c r="B208" s="5" t="s">
        <v>333</v>
      </c>
      <c r="C208" s="4" t="s">
        <v>507</v>
      </c>
      <c r="D208" s="33" t="s">
        <v>63</v>
      </c>
      <c r="E208" s="4">
        <v>39</v>
      </c>
      <c r="F208" s="31">
        <v>1</v>
      </c>
      <c r="G208" s="31">
        <v>1</v>
      </c>
      <c r="H208" s="6">
        <f t="shared" si="210"/>
        <v>1</v>
      </c>
      <c r="I208" s="4">
        <f t="shared" si="211"/>
        <v>29864</v>
      </c>
      <c r="J208" s="13">
        <f>ROUND(VLOOKUP(D208,[1]物品容器!$T$3:$U$8,2,FALSE)*M208,0)</f>
        <v>29864</v>
      </c>
      <c r="K208" s="18">
        <f t="shared" si="212"/>
        <v>29864</v>
      </c>
      <c r="L208" s="18">
        <f t="shared" ref="L208:O208" si="229">ROUND($I208*L$2,0)</f>
        <v>17918</v>
      </c>
      <c r="M208" s="19">
        <v>0.99545</v>
      </c>
      <c r="N208" s="18">
        <f t="shared" si="229"/>
        <v>4480</v>
      </c>
      <c r="O208" s="18">
        <f t="shared" si="229"/>
        <v>447960</v>
      </c>
      <c r="P208" s="18">
        <f t="shared" si="214"/>
        <v>268.77</v>
      </c>
      <c r="Q208" s="18">
        <f t="shared" si="215"/>
        <v>1488</v>
      </c>
      <c r="R208" s="2" t="s">
        <v>574</v>
      </c>
      <c r="S208" s="4">
        <f t="shared" si="216"/>
        <v>160010025</v>
      </c>
      <c r="W208" s="4"/>
      <c r="X208" s="4"/>
      <c r="AD208" s="4" t="s">
        <v>575</v>
      </c>
      <c r="AE208" s="4">
        <v>160030028</v>
      </c>
    </row>
    <row r="209" s="2" customFormat="1" spans="1:31">
      <c r="A209" s="4">
        <v>207</v>
      </c>
      <c r="B209" s="5" t="s">
        <v>327</v>
      </c>
      <c r="C209" s="4" t="s">
        <v>507</v>
      </c>
      <c r="D209" s="33" t="s">
        <v>63</v>
      </c>
      <c r="E209" s="4">
        <v>40</v>
      </c>
      <c r="F209" s="31">
        <v>1</v>
      </c>
      <c r="G209" s="31">
        <v>1</v>
      </c>
      <c r="H209" s="6">
        <f t="shared" si="210"/>
        <v>1</v>
      </c>
      <c r="I209" s="4">
        <f t="shared" si="211"/>
        <v>29862</v>
      </c>
      <c r="J209" s="13">
        <f>ROUND(VLOOKUP(D209,[1]物品容器!$T$3:$U$8,2,FALSE)*M209,0)</f>
        <v>29862</v>
      </c>
      <c r="K209" s="18">
        <f t="shared" si="212"/>
        <v>29862</v>
      </c>
      <c r="L209" s="18">
        <f t="shared" ref="L209:O209" si="230">ROUND($I209*L$2,0)</f>
        <v>17917</v>
      </c>
      <c r="M209" s="19">
        <v>0.99541</v>
      </c>
      <c r="N209" s="18">
        <f t="shared" si="230"/>
        <v>4479</v>
      </c>
      <c r="O209" s="18">
        <f t="shared" si="230"/>
        <v>447930</v>
      </c>
      <c r="P209" s="18">
        <f t="shared" si="214"/>
        <v>268.755</v>
      </c>
      <c r="Q209" s="18">
        <f t="shared" si="215"/>
        <v>1488</v>
      </c>
      <c r="R209" s="2" t="s">
        <v>576</v>
      </c>
      <c r="S209" s="4">
        <f t="shared" si="216"/>
        <v>160010023</v>
      </c>
      <c r="W209" s="4"/>
      <c r="X209" s="4"/>
      <c r="AD209" s="4" t="s">
        <v>577</v>
      </c>
      <c r="AE209" s="4">
        <v>160030029</v>
      </c>
    </row>
    <row r="210" s="2" customFormat="1" spans="1:31">
      <c r="A210" s="4">
        <v>208</v>
      </c>
      <c r="B210" s="5" t="s">
        <v>285</v>
      </c>
      <c r="C210" s="4" t="s">
        <v>507</v>
      </c>
      <c r="D210" s="34" t="s">
        <v>76</v>
      </c>
      <c r="E210" s="4">
        <v>41</v>
      </c>
      <c r="F210" s="32">
        <v>1</v>
      </c>
      <c r="G210" s="35">
        <v>1</v>
      </c>
      <c r="H210" s="6">
        <f t="shared" si="210"/>
        <v>1</v>
      </c>
      <c r="I210" s="4">
        <f t="shared" si="211"/>
        <v>10052</v>
      </c>
      <c r="J210" s="13">
        <f>ROUND(VLOOKUP(D210,[1]物品容器!$T$3:$U$8,2,FALSE)*M210,0)</f>
        <v>10052</v>
      </c>
      <c r="K210" s="18">
        <f t="shared" si="212"/>
        <v>10052</v>
      </c>
      <c r="L210" s="18">
        <f t="shared" ref="L210:O210" si="231">ROUND($I210*L$2,0)</f>
        <v>6031</v>
      </c>
      <c r="M210" s="19">
        <v>1.00515</v>
      </c>
      <c r="N210" s="18">
        <f t="shared" si="231"/>
        <v>1508</v>
      </c>
      <c r="O210" s="18">
        <f t="shared" si="231"/>
        <v>150780</v>
      </c>
      <c r="P210" s="18">
        <f t="shared" si="214"/>
        <v>90.465</v>
      </c>
      <c r="Q210" s="18">
        <f t="shared" si="215"/>
        <v>501</v>
      </c>
      <c r="R210" s="2" t="s">
        <v>578</v>
      </c>
      <c r="S210" s="4">
        <f t="shared" si="216"/>
        <v>160010009</v>
      </c>
      <c r="W210" s="4"/>
      <c r="X210" s="4"/>
      <c r="AD210" s="4" t="s">
        <v>579</v>
      </c>
      <c r="AE210" s="4">
        <v>160030030</v>
      </c>
    </row>
    <row r="211" s="2" customFormat="1" spans="1:31">
      <c r="A211" s="4">
        <v>209</v>
      </c>
      <c r="B211" s="5" t="s">
        <v>288</v>
      </c>
      <c r="C211" s="4" t="s">
        <v>507</v>
      </c>
      <c r="D211" s="34" t="s">
        <v>76</v>
      </c>
      <c r="E211" s="4">
        <v>42</v>
      </c>
      <c r="F211" s="32">
        <v>1</v>
      </c>
      <c r="G211" s="31">
        <v>2</v>
      </c>
      <c r="H211" s="6">
        <f t="shared" si="210"/>
        <v>0.97</v>
      </c>
      <c r="I211" s="4">
        <f t="shared" si="211"/>
        <v>19485</v>
      </c>
      <c r="J211" s="13">
        <f>ROUND(VLOOKUP(D211,[1]物品容器!$T$3:$U$8,2,FALSE)*M211,0)</f>
        <v>10044</v>
      </c>
      <c r="K211" s="18">
        <f t="shared" si="212"/>
        <v>9743</v>
      </c>
      <c r="L211" s="18">
        <f t="shared" ref="L211:O211" si="232">ROUND($I211*L$2,0)</f>
        <v>11691</v>
      </c>
      <c r="M211" s="19">
        <v>1.0044</v>
      </c>
      <c r="N211" s="18">
        <f t="shared" si="232"/>
        <v>2923</v>
      </c>
      <c r="O211" s="18">
        <f t="shared" si="232"/>
        <v>292275</v>
      </c>
      <c r="P211" s="18">
        <f t="shared" si="214"/>
        <v>175.365</v>
      </c>
      <c r="Q211" s="18">
        <f t="shared" si="215"/>
        <v>971</v>
      </c>
      <c r="R211" s="2" t="s">
        <v>580</v>
      </c>
      <c r="S211" s="4">
        <f t="shared" si="216"/>
        <v>160010010</v>
      </c>
      <c r="W211" s="4"/>
      <c r="X211" s="4"/>
      <c r="AD211" s="4" t="s">
        <v>581</v>
      </c>
      <c r="AE211" s="4">
        <v>160030031</v>
      </c>
    </row>
    <row r="212" s="2" customFormat="1" spans="1:31">
      <c r="A212" s="4">
        <v>210</v>
      </c>
      <c r="B212" s="5" t="s">
        <v>291</v>
      </c>
      <c r="C212" s="4" t="s">
        <v>507</v>
      </c>
      <c r="D212" s="34" t="s">
        <v>76</v>
      </c>
      <c r="E212" s="4">
        <v>43</v>
      </c>
      <c r="F212" s="31">
        <v>1</v>
      </c>
      <c r="G212" s="31">
        <v>1</v>
      </c>
      <c r="H212" s="6">
        <f t="shared" si="210"/>
        <v>1</v>
      </c>
      <c r="I212" s="4">
        <f t="shared" si="211"/>
        <v>9977</v>
      </c>
      <c r="J212" s="13">
        <f>ROUND(VLOOKUP(D212,[1]物品容器!$T$3:$U$8,2,FALSE)*M212,0)</f>
        <v>9977</v>
      </c>
      <c r="K212" s="18">
        <f t="shared" si="212"/>
        <v>9977</v>
      </c>
      <c r="L212" s="18">
        <f t="shared" ref="L212:O212" si="233">ROUND($I212*L$2,0)</f>
        <v>5986</v>
      </c>
      <c r="M212" s="19">
        <v>0.99771</v>
      </c>
      <c r="N212" s="18">
        <f t="shared" si="233"/>
        <v>1497</v>
      </c>
      <c r="O212" s="18">
        <f t="shared" si="233"/>
        <v>149655</v>
      </c>
      <c r="P212" s="18">
        <f t="shared" si="214"/>
        <v>89.79</v>
      </c>
      <c r="Q212" s="18">
        <f t="shared" si="215"/>
        <v>497</v>
      </c>
      <c r="R212" s="2" t="s">
        <v>582</v>
      </c>
      <c r="S212" s="4">
        <f t="shared" si="216"/>
        <v>160010011</v>
      </c>
      <c r="W212" s="4"/>
      <c r="X212" s="4"/>
      <c r="AD212" s="4" t="s">
        <v>583</v>
      </c>
      <c r="AE212" s="4">
        <v>160030032</v>
      </c>
    </row>
    <row r="213" s="2" customFormat="1" spans="1:31">
      <c r="A213" s="4">
        <v>211</v>
      </c>
      <c r="B213" s="5" t="s">
        <v>294</v>
      </c>
      <c r="C213" s="4" t="s">
        <v>507</v>
      </c>
      <c r="D213" s="34" t="s">
        <v>76</v>
      </c>
      <c r="E213" s="4">
        <v>44</v>
      </c>
      <c r="F213" s="32">
        <v>1</v>
      </c>
      <c r="G213" s="31">
        <v>2</v>
      </c>
      <c r="H213" s="6">
        <f t="shared" si="210"/>
        <v>0.97</v>
      </c>
      <c r="I213" s="4">
        <f t="shared" si="211"/>
        <v>19546</v>
      </c>
      <c r="J213" s="13">
        <f>ROUND(VLOOKUP(D213,[1]物品容器!$T$3:$U$8,2,FALSE)*M213,0)</f>
        <v>10075</v>
      </c>
      <c r="K213" s="18">
        <f t="shared" si="212"/>
        <v>9773</v>
      </c>
      <c r="L213" s="18">
        <f t="shared" ref="L213:O213" si="234">ROUND($I213*L$2,0)</f>
        <v>11728</v>
      </c>
      <c r="M213" s="19">
        <v>1.00749</v>
      </c>
      <c r="N213" s="18">
        <f t="shared" si="234"/>
        <v>2932</v>
      </c>
      <c r="O213" s="18">
        <f t="shared" si="234"/>
        <v>293190</v>
      </c>
      <c r="P213" s="18">
        <f t="shared" si="214"/>
        <v>175.92</v>
      </c>
      <c r="Q213" s="18">
        <f t="shared" si="215"/>
        <v>974</v>
      </c>
      <c r="R213" s="2" t="s">
        <v>584</v>
      </c>
      <c r="S213" s="4">
        <f t="shared" si="216"/>
        <v>160010012</v>
      </c>
      <c r="W213" s="4"/>
      <c r="X213" s="4"/>
      <c r="AD213" s="4" t="s">
        <v>585</v>
      </c>
      <c r="AE213" s="4">
        <v>160030033</v>
      </c>
    </row>
    <row r="214" s="2" customFormat="1" spans="1:31">
      <c r="A214" s="4">
        <v>212</v>
      </c>
      <c r="B214" s="5" t="s">
        <v>297</v>
      </c>
      <c r="C214" s="4" t="s">
        <v>507</v>
      </c>
      <c r="D214" s="34" t="s">
        <v>76</v>
      </c>
      <c r="E214" s="4">
        <v>45</v>
      </c>
      <c r="F214" s="31">
        <v>2</v>
      </c>
      <c r="G214" s="31">
        <v>2</v>
      </c>
      <c r="H214" s="6">
        <f t="shared" si="210"/>
        <v>0.91</v>
      </c>
      <c r="I214" s="4">
        <f t="shared" si="211"/>
        <v>36404</v>
      </c>
      <c r="J214" s="13">
        <f>ROUND(VLOOKUP(D214,[1]物品容器!$T$3:$U$8,2,FALSE)*M214,0)</f>
        <v>10001</v>
      </c>
      <c r="K214" s="18">
        <f t="shared" si="212"/>
        <v>9101</v>
      </c>
      <c r="L214" s="18">
        <f t="shared" ref="L214:O214" si="235">ROUND($I214*L$2,0)</f>
        <v>21842</v>
      </c>
      <c r="M214" s="19">
        <v>1.00014</v>
      </c>
      <c r="N214" s="18">
        <f t="shared" si="235"/>
        <v>5461</v>
      </c>
      <c r="O214" s="18">
        <f t="shared" si="235"/>
        <v>546060</v>
      </c>
      <c r="P214" s="18">
        <f t="shared" si="214"/>
        <v>327.63</v>
      </c>
      <c r="Q214" s="18">
        <f t="shared" si="215"/>
        <v>1814</v>
      </c>
      <c r="R214" s="2" t="s">
        <v>586</v>
      </c>
      <c r="S214" s="4">
        <f t="shared" si="216"/>
        <v>160010013</v>
      </c>
      <c r="W214" s="4"/>
      <c r="X214" s="4"/>
      <c r="AD214" s="4" t="s">
        <v>587</v>
      </c>
      <c r="AE214" s="4">
        <v>160030034</v>
      </c>
    </row>
    <row r="215" s="2" customFormat="1" spans="1:31">
      <c r="A215" s="4">
        <v>213</v>
      </c>
      <c r="B215" s="5" t="s">
        <v>300</v>
      </c>
      <c r="C215" s="4" t="s">
        <v>507</v>
      </c>
      <c r="D215" s="34" t="s">
        <v>76</v>
      </c>
      <c r="E215" s="4">
        <v>46</v>
      </c>
      <c r="F215" s="31">
        <v>2</v>
      </c>
      <c r="G215" s="31">
        <v>2</v>
      </c>
      <c r="H215" s="6">
        <f t="shared" si="210"/>
        <v>0.91</v>
      </c>
      <c r="I215" s="4">
        <f t="shared" si="211"/>
        <v>36178</v>
      </c>
      <c r="J215" s="13">
        <f>ROUND(VLOOKUP(D215,[1]物品容器!$T$3:$U$8,2,FALSE)*M215,0)</f>
        <v>9939</v>
      </c>
      <c r="K215" s="18">
        <f t="shared" si="212"/>
        <v>9044</v>
      </c>
      <c r="L215" s="18">
        <f t="shared" ref="L215:O215" si="236">ROUND($I215*L$2,0)</f>
        <v>21707</v>
      </c>
      <c r="M215" s="19">
        <v>0.99388</v>
      </c>
      <c r="N215" s="18">
        <f t="shared" si="236"/>
        <v>5427</v>
      </c>
      <c r="O215" s="18">
        <f t="shared" si="236"/>
        <v>542670</v>
      </c>
      <c r="P215" s="18">
        <f t="shared" si="214"/>
        <v>325.605</v>
      </c>
      <c r="Q215" s="18">
        <f t="shared" si="215"/>
        <v>1803</v>
      </c>
      <c r="R215" s="2" t="s">
        <v>588</v>
      </c>
      <c r="S215" s="4">
        <f t="shared" si="216"/>
        <v>160010014</v>
      </c>
      <c r="W215" s="4"/>
      <c r="X215" s="4"/>
      <c r="AD215" s="4" t="s">
        <v>481</v>
      </c>
      <c r="AE215" s="4">
        <v>160040001</v>
      </c>
    </row>
    <row r="216" s="2" customFormat="1" spans="1:31">
      <c r="A216" s="4">
        <v>214</v>
      </c>
      <c r="B216" s="36" t="s">
        <v>263</v>
      </c>
      <c r="C216" s="4" t="s">
        <v>507</v>
      </c>
      <c r="D216" s="37" t="s">
        <v>94</v>
      </c>
      <c r="E216" s="4">
        <v>47</v>
      </c>
      <c r="F216" s="32">
        <v>1</v>
      </c>
      <c r="G216" s="32">
        <v>1</v>
      </c>
      <c r="H216" s="6">
        <f t="shared" si="210"/>
        <v>1</v>
      </c>
      <c r="I216" s="4">
        <f t="shared" si="211"/>
        <v>3007</v>
      </c>
      <c r="J216" s="13">
        <f>ROUND(VLOOKUP(D216,[1]物品容器!$T$3:$U$8,2,FALSE)*M216,0)</f>
        <v>3007</v>
      </c>
      <c r="K216" s="18">
        <f t="shared" si="212"/>
        <v>3007</v>
      </c>
      <c r="L216" s="18">
        <f t="shared" ref="L216:O216" si="237">ROUND($I216*L$2,0)</f>
        <v>1804</v>
      </c>
      <c r="M216" s="19">
        <v>1.00229</v>
      </c>
      <c r="N216" s="18">
        <f t="shared" si="237"/>
        <v>451</v>
      </c>
      <c r="O216" s="18">
        <f t="shared" si="237"/>
        <v>45105</v>
      </c>
      <c r="P216" s="18">
        <f t="shared" si="214"/>
        <v>27.06</v>
      </c>
      <c r="Q216" s="18">
        <f t="shared" si="215"/>
        <v>150</v>
      </c>
      <c r="R216" s="2" t="s">
        <v>589</v>
      </c>
      <c r="S216" s="4">
        <f t="shared" si="216"/>
        <v>160010002</v>
      </c>
      <c r="W216" s="4"/>
      <c r="X216" s="4"/>
      <c r="AD216" s="4" t="s">
        <v>483</v>
      </c>
      <c r="AE216" s="4">
        <v>160040002</v>
      </c>
    </row>
    <row r="217" s="2" customFormat="1" spans="1:31">
      <c r="A217" s="4">
        <v>215</v>
      </c>
      <c r="B217" s="5" t="s">
        <v>281</v>
      </c>
      <c r="C217" s="4" t="s">
        <v>507</v>
      </c>
      <c r="D217" s="37" t="s">
        <v>94</v>
      </c>
      <c r="E217" s="4">
        <v>48</v>
      </c>
      <c r="F217" s="31">
        <v>2</v>
      </c>
      <c r="G217" s="31">
        <v>1</v>
      </c>
      <c r="H217" s="6">
        <f t="shared" si="210"/>
        <v>0.97</v>
      </c>
      <c r="I217" s="4">
        <f t="shared" si="211"/>
        <v>5785</v>
      </c>
      <c r="J217" s="13">
        <f>ROUND(VLOOKUP(D217,[1]物品容器!$T$3:$U$8,2,FALSE)*M217,0)</f>
        <v>2982</v>
      </c>
      <c r="K217" s="18">
        <f t="shared" si="212"/>
        <v>2893</v>
      </c>
      <c r="L217" s="18">
        <f t="shared" ref="L217:O217" si="238">ROUND($I217*L$2,0)</f>
        <v>3471</v>
      </c>
      <c r="M217" s="19">
        <v>0.99399</v>
      </c>
      <c r="N217" s="18">
        <f t="shared" si="238"/>
        <v>868</v>
      </c>
      <c r="O217" s="18">
        <f t="shared" si="238"/>
        <v>86775</v>
      </c>
      <c r="P217" s="18">
        <f t="shared" si="214"/>
        <v>52.065</v>
      </c>
      <c r="Q217" s="18">
        <f t="shared" si="215"/>
        <v>288</v>
      </c>
      <c r="R217" s="2" t="s">
        <v>590</v>
      </c>
      <c r="S217" s="4">
        <f t="shared" si="216"/>
        <v>160010008</v>
      </c>
      <c r="W217" s="4"/>
      <c r="X217" s="4"/>
      <c r="AD217" s="4" t="s">
        <v>486</v>
      </c>
      <c r="AE217" s="4">
        <v>160040003</v>
      </c>
    </row>
    <row r="218" s="2" customFormat="1" spans="1:31">
      <c r="A218" s="4">
        <v>216</v>
      </c>
      <c r="B218" s="5" t="s">
        <v>275</v>
      </c>
      <c r="C218" s="4" t="s">
        <v>507</v>
      </c>
      <c r="D218" s="37" t="s">
        <v>94</v>
      </c>
      <c r="E218" s="4">
        <v>49</v>
      </c>
      <c r="F218" s="31">
        <v>1</v>
      </c>
      <c r="G218" s="31">
        <v>1</v>
      </c>
      <c r="H218" s="6">
        <f t="shared" si="210"/>
        <v>1</v>
      </c>
      <c r="I218" s="4">
        <f t="shared" si="211"/>
        <v>3014</v>
      </c>
      <c r="J218" s="13">
        <f>ROUND(VLOOKUP(D218,[1]物品容器!$T$3:$U$8,2,FALSE)*M218,0)</f>
        <v>3014</v>
      </c>
      <c r="K218" s="18">
        <f t="shared" si="212"/>
        <v>3014</v>
      </c>
      <c r="L218" s="18">
        <f t="shared" ref="L218:O218" si="239">ROUND($I218*L$2,0)</f>
        <v>1808</v>
      </c>
      <c r="M218" s="19">
        <v>1.00479</v>
      </c>
      <c r="N218" s="18">
        <f t="shared" si="239"/>
        <v>452</v>
      </c>
      <c r="O218" s="18">
        <f t="shared" si="239"/>
        <v>45210</v>
      </c>
      <c r="P218" s="18">
        <f t="shared" si="214"/>
        <v>27.12</v>
      </c>
      <c r="Q218" s="18">
        <f t="shared" si="215"/>
        <v>150</v>
      </c>
      <c r="R218" s="2" t="s">
        <v>591</v>
      </c>
      <c r="S218" s="4">
        <f t="shared" si="216"/>
        <v>160010006</v>
      </c>
      <c r="W218" s="4"/>
      <c r="X218" s="4"/>
      <c r="AD218" s="4" t="s">
        <v>489</v>
      </c>
      <c r="AE218" s="4">
        <v>160040004</v>
      </c>
    </row>
    <row r="219" s="2" customFormat="1" spans="1:31">
      <c r="A219" s="4">
        <v>217</v>
      </c>
      <c r="B219" s="36" t="s">
        <v>266</v>
      </c>
      <c r="C219" s="4" t="s">
        <v>507</v>
      </c>
      <c r="D219" s="37" t="s">
        <v>94</v>
      </c>
      <c r="E219" s="4">
        <v>50</v>
      </c>
      <c r="F219" s="31">
        <v>1</v>
      </c>
      <c r="G219" s="31">
        <v>1</v>
      </c>
      <c r="H219" s="6">
        <f t="shared" si="210"/>
        <v>1</v>
      </c>
      <c r="I219" s="4">
        <f t="shared" si="211"/>
        <v>2991</v>
      </c>
      <c r="J219" s="13">
        <f>ROUND(VLOOKUP(D219,[1]物品容器!$T$3:$U$8,2,FALSE)*M219,0)</f>
        <v>2991</v>
      </c>
      <c r="K219" s="18">
        <f t="shared" si="212"/>
        <v>2991</v>
      </c>
      <c r="L219" s="18">
        <f t="shared" ref="L219:O219" si="240">ROUND($I219*L$2,0)</f>
        <v>1795</v>
      </c>
      <c r="M219" s="19">
        <v>0.99713</v>
      </c>
      <c r="N219" s="18">
        <f t="shared" si="240"/>
        <v>449</v>
      </c>
      <c r="O219" s="18">
        <f t="shared" si="240"/>
        <v>44865</v>
      </c>
      <c r="P219" s="18">
        <f t="shared" si="214"/>
        <v>26.925</v>
      </c>
      <c r="Q219" s="18">
        <f t="shared" si="215"/>
        <v>149</v>
      </c>
      <c r="R219" s="2" t="s">
        <v>592</v>
      </c>
      <c r="S219" s="4">
        <f t="shared" si="216"/>
        <v>160010003</v>
      </c>
      <c r="W219" s="4"/>
      <c r="X219" s="4"/>
      <c r="AD219" s="4" t="s">
        <v>492</v>
      </c>
      <c r="AE219" s="4">
        <v>160040005</v>
      </c>
    </row>
    <row r="220" s="2" customFormat="1" spans="1:31">
      <c r="A220" s="4">
        <v>218</v>
      </c>
      <c r="B220" s="36" t="s">
        <v>269</v>
      </c>
      <c r="C220" s="4" t="s">
        <v>507</v>
      </c>
      <c r="D220" s="37" t="s">
        <v>94</v>
      </c>
      <c r="E220" s="4">
        <v>51</v>
      </c>
      <c r="F220" s="31">
        <v>1</v>
      </c>
      <c r="G220" s="31">
        <v>1</v>
      </c>
      <c r="H220" s="6">
        <f t="shared" si="210"/>
        <v>1</v>
      </c>
      <c r="I220" s="4">
        <f t="shared" si="211"/>
        <v>2971</v>
      </c>
      <c r="J220" s="13">
        <f>ROUND(VLOOKUP(D220,[1]物品容器!$T$3:$U$8,2,FALSE)*M220,0)</f>
        <v>2971</v>
      </c>
      <c r="K220" s="18">
        <f t="shared" si="212"/>
        <v>2971</v>
      </c>
      <c r="L220" s="18">
        <f t="shared" ref="L220:O220" si="241">ROUND($I220*L$2,0)</f>
        <v>1783</v>
      </c>
      <c r="M220" s="19">
        <v>0.99021</v>
      </c>
      <c r="N220" s="18">
        <f t="shared" si="241"/>
        <v>446</v>
      </c>
      <c r="O220" s="18">
        <f t="shared" si="241"/>
        <v>44565</v>
      </c>
      <c r="P220" s="18">
        <f t="shared" si="214"/>
        <v>26.745</v>
      </c>
      <c r="Q220" s="18">
        <f t="shared" si="215"/>
        <v>148</v>
      </c>
      <c r="R220" s="2" t="s">
        <v>593</v>
      </c>
      <c r="S220" s="4">
        <f t="shared" si="216"/>
        <v>160010004</v>
      </c>
      <c r="W220" s="4"/>
      <c r="X220" s="4"/>
      <c r="AD220" s="4" t="s">
        <v>495</v>
      </c>
      <c r="AE220" s="4">
        <v>160040006</v>
      </c>
    </row>
    <row r="221" s="2" customFormat="1" spans="1:31">
      <c r="A221" s="4">
        <v>219</v>
      </c>
      <c r="B221" s="5" t="s">
        <v>272</v>
      </c>
      <c r="C221" s="4" t="s">
        <v>507</v>
      </c>
      <c r="D221" s="37" t="s">
        <v>94</v>
      </c>
      <c r="E221" s="4">
        <v>52</v>
      </c>
      <c r="F221" s="31">
        <v>1</v>
      </c>
      <c r="G221" s="31">
        <v>1</v>
      </c>
      <c r="H221" s="6">
        <f t="shared" si="210"/>
        <v>1</v>
      </c>
      <c r="I221" s="4">
        <f t="shared" si="211"/>
        <v>2988</v>
      </c>
      <c r="J221" s="13">
        <f>ROUND(VLOOKUP(D221,[1]物品容器!$T$3:$U$8,2,FALSE)*M221,0)</f>
        <v>2988</v>
      </c>
      <c r="K221" s="18">
        <f t="shared" si="212"/>
        <v>2988</v>
      </c>
      <c r="L221" s="18">
        <f t="shared" ref="L221:O221" si="242">ROUND($I221*L$2,0)</f>
        <v>1793</v>
      </c>
      <c r="M221" s="19">
        <v>0.99608</v>
      </c>
      <c r="N221" s="18">
        <f t="shared" si="242"/>
        <v>448</v>
      </c>
      <c r="O221" s="18">
        <f t="shared" si="242"/>
        <v>44820</v>
      </c>
      <c r="P221" s="18">
        <f t="shared" si="214"/>
        <v>26.895</v>
      </c>
      <c r="Q221" s="18">
        <f t="shared" si="215"/>
        <v>149</v>
      </c>
      <c r="R221" s="2" t="s">
        <v>594</v>
      </c>
      <c r="S221" s="4">
        <f t="shared" si="216"/>
        <v>160010005</v>
      </c>
      <c r="W221" s="4"/>
      <c r="X221" s="4"/>
      <c r="AD221" s="4" t="s">
        <v>503</v>
      </c>
      <c r="AE221" s="4">
        <v>160040007</v>
      </c>
    </row>
    <row r="222" s="2" customFormat="1" spans="1:31">
      <c r="A222" s="4">
        <v>220</v>
      </c>
      <c r="B222" s="5" t="s">
        <v>278</v>
      </c>
      <c r="C222" s="4" t="s">
        <v>507</v>
      </c>
      <c r="D222" s="37" t="s">
        <v>94</v>
      </c>
      <c r="E222" s="4">
        <v>53</v>
      </c>
      <c r="F222" s="31">
        <v>1</v>
      </c>
      <c r="G222" s="31">
        <v>1</v>
      </c>
      <c r="H222" s="6">
        <f t="shared" si="210"/>
        <v>1</v>
      </c>
      <c r="I222" s="4">
        <f t="shared" si="211"/>
        <v>3029</v>
      </c>
      <c r="J222" s="13">
        <f>ROUND(VLOOKUP(D222,[1]物品容器!$T$3:$U$8,2,FALSE)*M222,0)</f>
        <v>3029</v>
      </c>
      <c r="K222" s="18">
        <f t="shared" si="212"/>
        <v>3029</v>
      </c>
      <c r="L222" s="18">
        <f t="shared" ref="L222:O222" si="243">ROUND($I222*L$2,0)</f>
        <v>1817</v>
      </c>
      <c r="M222" s="19">
        <v>1.00962</v>
      </c>
      <c r="N222" s="18">
        <f t="shared" si="243"/>
        <v>454</v>
      </c>
      <c r="O222" s="18">
        <f t="shared" si="243"/>
        <v>45435</v>
      </c>
      <c r="P222" s="18">
        <f t="shared" si="214"/>
        <v>27.255</v>
      </c>
      <c r="Q222" s="18">
        <f t="shared" si="215"/>
        <v>151</v>
      </c>
      <c r="R222" s="2" t="s">
        <v>595</v>
      </c>
      <c r="S222" s="4">
        <f t="shared" si="216"/>
        <v>160010007</v>
      </c>
      <c r="W222" s="4"/>
      <c r="X222" s="4"/>
      <c r="AD222" s="4" t="s">
        <v>499</v>
      </c>
      <c r="AE222" s="4">
        <v>160040008</v>
      </c>
    </row>
    <row r="223" s="2" customFormat="1" spans="1:31">
      <c r="A223" s="4">
        <v>221</v>
      </c>
      <c r="B223" s="36" t="s">
        <v>260</v>
      </c>
      <c r="C223" s="4" t="s">
        <v>507</v>
      </c>
      <c r="D223" s="38" t="s">
        <v>116</v>
      </c>
      <c r="E223" s="4">
        <v>54</v>
      </c>
      <c r="F223" s="31">
        <v>1</v>
      </c>
      <c r="G223" s="31">
        <v>1</v>
      </c>
      <c r="H223" s="6">
        <f t="shared" si="210"/>
        <v>1</v>
      </c>
      <c r="I223" s="4">
        <f t="shared" si="211"/>
        <v>990</v>
      </c>
      <c r="J223" s="13">
        <f>ROUND(VLOOKUP(D223,[1]物品容器!$T$3:$U$8,2,FALSE)*M223,0)</f>
        <v>990</v>
      </c>
      <c r="K223" s="18">
        <f t="shared" si="212"/>
        <v>990</v>
      </c>
      <c r="L223" s="18">
        <f t="shared" ref="L223:O223" si="244">ROUND($I223*L$2,0)</f>
        <v>594</v>
      </c>
      <c r="M223" s="19">
        <v>0.99048</v>
      </c>
      <c r="N223" s="18">
        <f t="shared" si="244"/>
        <v>149</v>
      </c>
      <c r="O223" s="18">
        <f t="shared" si="244"/>
        <v>14850</v>
      </c>
      <c r="P223" s="18">
        <f t="shared" si="214"/>
        <v>8.91</v>
      </c>
      <c r="Q223" s="18">
        <f t="shared" si="215"/>
        <v>49</v>
      </c>
      <c r="R223" s="2" t="s">
        <v>596</v>
      </c>
      <c r="S223" s="4">
        <f t="shared" si="216"/>
        <v>160010001</v>
      </c>
      <c r="W223" s="4"/>
      <c r="X223" s="4"/>
      <c r="AD223" s="4" t="s">
        <v>497</v>
      </c>
      <c r="AE223" s="4">
        <v>160040009</v>
      </c>
    </row>
    <row r="224" s="3" customFormat="1" spans="1:31">
      <c r="A224" s="4">
        <v>222</v>
      </c>
      <c r="B224" s="5" t="s">
        <v>597</v>
      </c>
      <c r="C224" s="13" t="s">
        <v>598</v>
      </c>
      <c r="D224" s="17" t="s">
        <v>26</v>
      </c>
      <c r="E224" s="13">
        <v>1</v>
      </c>
      <c r="F224" s="31">
        <v>1</v>
      </c>
      <c r="G224" s="31">
        <v>2</v>
      </c>
      <c r="H224" s="6">
        <f t="shared" si="210"/>
        <v>0.97</v>
      </c>
      <c r="I224" s="4">
        <f t="shared" si="211"/>
        <v>582163</v>
      </c>
      <c r="J224" s="13">
        <f>ROUND(VLOOKUP(D224,[1]物品容器!$T$3:$U$8,2,FALSE)*M224,0)</f>
        <v>300084</v>
      </c>
      <c r="K224" s="18">
        <f t="shared" si="212"/>
        <v>291081</v>
      </c>
      <c r="L224" s="18">
        <f t="shared" ref="L224:O224" si="245">ROUND($I224*L$2,0)</f>
        <v>349298</v>
      </c>
      <c r="M224" s="19">
        <v>1.00028</v>
      </c>
      <c r="N224" s="18">
        <f t="shared" si="245"/>
        <v>87324</v>
      </c>
      <c r="O224" s="18">
        <f t="shared" si="245"/>
        <v>8732445</v>
      </c>
      <c r="P224" s="18">
        <f t="shared" si="214"/>
        <v>5239.47</v>
      </c>
      <c r="Q224" s="18">
        <f t="shared" si="215"/>
        <v>29009</v>
      </c>
      <c r="R224" s="16" t="s">
        <v>599</v>
      </c>
      <c r="S224" s="4">
        <f t="shared" si="216"/>
        <v>160070032</v>
      </c>
      <c r="W224" s="5"/>
      <c r="X224" s="5"/>
      <c r="AD224" s="5" t="s">
        <v>501</v>
      </c>
      <c r="AE224" s="5">
        <v>160040010</v>
      </c>
    </row>
    <row r="225" s="2" customFormat="1" spans="1:31">
      <c r="A225" s="4">
        <v>223</v>
      </c>
      <c r="B225" s="5" t="s">
        <v>600</v>
      </c>
      <c r="C225" s="13" t="s">
        <v>598</v>
      </c>
      <c r="D225" s="17" t="s">
        <v>26</v>
      </c>
      <c r="E225" s="13">
        <v>2</v>
      </c>
      <c r="F225" s="31">
        <v>3</v>
      </c>
      <c r="G225" s="31">
        <v>2</v>
      </c>
      <c r="H225" s="6">
        <f t="shared" si="210"/>
        <v>0.88</v>
      </c>
      <c r="I225" s="4">
        <f t="shared" si="211"/>
        <v>1589560</v>
      </c>
      <c r="J225" s="13">
        <f>ROUND(VLOOKUP(D225,[1]物品容器!$T$3:$U$8,2,FALSE)*M225,0)</f>
        <v>301053</v>
      </c>
      <c r="K225" s="18">
        <f t="shared" si="212"/>
        <v>264927</v>
      </c>
      <c r="L225" s="18">
        <f t="shared" ref="L225:O225" si="246">ROUND($I225*L$2,0)</f>
        <v>953736</v>
      </c>
      <c r="M225" s="19">
        <v>1.00351</v>
      </c>
      <c r="N225" s="18">
        <f t="shared" si="246"/>
        <v>238434</v>
      </c>
      <c r="O225" s="18">
        <f t="shared" si="246"/>
        <v>23843400</v>
      </c>
      <c r="P225" s="18">
        <f t="shared" si="214"/>
        <v>14306.04</v>
      </c>
      <c r="Q225" s="18">
        <f t="shared" si="215"/>
        <v>79206</v>
      </c>
      <c r="R225" s="16" t="s">
        <v>601</v>
      </c>
      <c r="S225" s="4">
        <f t="shared" si="216"/>
        <v>160070033</v>
      </c>
      <c r="W225" s="4"/>
      <c r="X225" s="4"/>
      <c r="AD225" s="4" t="s">
        <v>505</v>
      </c>
      <c r="AE225" s="4">
        <v>160040011</v>
      </c>
    </row>
    <row r="226" s="2" customFormat="1" spans="1:31">
      <c r="A226" s="4">
        <v>224</v>
      </c>
      <c r="B226" s="5" t="s">
        <v>602</v>
      </c>
      <c r="C226" s="13" t="s">
        <v>598</v>
      </c>
      <c r="D226" s="17" t="s">
        <v>26</v>
      </c>
      <c r="E226" s="13">
        <v>3</v>
      </c>
      <c r="F226" s="31">
        <v>1</v>
      </c>
      <c r="G226" s="31">
        <v>1</v>
      </c>
      <c r="H226" s="6">
        <f t="shared" si="210"/>
        <v>1</v>
      </c>
      <c r="I226" s="4">
        <f t="shared" si="211"/>
        <v>301455</v>
      </c>
      <c r="J226" s="13">
        <f>ROUND(VLOOKUP(D226,[1]物品容器!$T$3:$U$8,2,FALSE)*M226,0)</f>
        <v>301455</v>
      </c>
      <c r="K226" s="18">
        <f t="shared" si="212"/>
        <v>301455</v>
      </c>
      <c r="L226" s="18">
        <f t="shared" ref="L226:O226" si="247">ROUND($I226*L$2,0)</f>
        <v>180873</v>
      </c>
      <c r="M226" s="19">
        <v>1.00485</v>
      </c>
      <c r="N226" s="18">
        <f t="shared" si="247"/>
        <v>45218</v>
      </c>
      <c r="O226" s="18">
        <f t="shared" si="247"/>
        <v>4521825</v>
      </c>
      <c r="P226" s="18">
        <f t="shared" si="214"/>
        <v>2713.095</v>
      </c>
      <c r="Q226" s="18">
        <f t="shared" si="215"/>
        <v>15021</v>
      </c>
      <c r="R226" s="16" t="s">
        <v>603</v>
      </c>
      <c r="S226" s="4">
        <f t="shared" si="216"/>
        <v>160070034</v>
      </c>
      <c r="W226" s="4"/>
      <c r="X226" s="4"/>
      <c r="AD226" s="4" t="s">
        <v>439</v>
      </c>
      <c r="AE226" s="4">
        <v>160040012</v>
      </c>
    </row>
    <row r="227" s="2" customFormat="1" spans="1:31">
      <c r="A227" s="4">
        <v>225</v>
      </c>
      <c r="B227" s="5" t="s">
        <v>604</v>
      </c>
      <c r="C227" s="13" t="s">
        <v>598</v>
      </c>
      <c r="D227" s="17" t="s">
        <v>26</v>
      </c>
      <c r="E227" s="13">
        <v>4</v>
      </c>
      <c r="F227" s="31">
        <v>4</v>
      </c>
      <c r="G227" s="31">
        <v>3</v>
      </c>
      <c r="H227" s="6">
        <f t="shared" si="210"/>
        <v>0.7</v>
      </c>
      <c r="I227" s="4">
        <f t="shared" si="211"/>
        <v>2501881</v>
      </c>
      <c r="J227" s="13">
        <f>ROUND(VLOOKUP(D227,[1]物品容器!$T$3:$U$8,2,FALSE)*M227,0)</f>
        <v>297843</v>
      </c>
      <c r="K227" s="18">
        <f t="shared" si="212"/>
        <v>208490</v>
      </c>
      <c r="L227" s="18">
        <f t="shared" ref="L227:O227" si="248">ROUND($I227*L$2,0)</f>
        <v>1501129</v>
      </c>
      <c r="M227" s="19">
        <v>0.99281</v>
      </c>
      <c r="N227" s="18">
        <f t="shared" si="248"/>
        <v>375282</v>
      </c>
      <c r="O227" s="18">
        <f t="shared" si="248"/>
        <v>37528215</v>
      </c>
      <c r="P227" s="18">
        <f t="shared" si="214"/>
        <v>22516.935</v>
      </c>
      <c r="Q227" s="18">
        <f t="shared" si="215"/>
        <v>124666</v>
      </c>
      <c r="R227" s="16" t="s">
        <v>605</v>
      </c>
      <c r="S227" s="4">
        <f t="shared" si="216"/>
        <v>160070035</v>
      </c>
      <c r="W227" s="4"/>
      <c r="X227" s="4"/>
      <c r="AD227" s="4" t="s">
        <v>442</v>
      </c>
      <c r="AE227" s="4">
        <v>160040013</v>
      </c>
    </row>
    <row r="228" s="2" customFormat="1" spans="1:31">
      <c r="A228" s="4">
        <v>226</v>
      </c>
      <c r="B228" s="5" t="s">
        <v>606</v>
      </c>
      <c r="C228" s="13" t="s">
        <v>598</v>
      </c>
      <c r="D228" s="17" t="s">
        <v>26</v>
      </c>
      <c r="E228" s="13">
        <v>5</v>
      </c>
      <c r="F228" s="31">
        <v>1</v>
      </c>
      <c r="G228" s="31">
        <v>1</v>
      </c>
      <c r="H228" s="6">
        <f t="shared" si="210"/>
        <v>1</v>
      </c>
      <c r="I228" s="4">
        <f t="shared" si="211"/>
        <v>298107</v>
      </c>
      <c r="J228" s="13">
        <f>ROUND(VLOOKUP(D228,[1]物品容器!$T$3:$U$8,2,FALSE)*M228,0)</f>
        <v>298107</v>
      </c>
      <c r="K228" s="18">
        <f t="shared" si="212"/>
        <v>298107</v>
      </c>
      <c r="L228" s="18">
        <f t="shared" ref="L228:O228" si="249">ROUND($I228*L$2,0)</f>
        <v>178864</v>
      </c>
      <c r="M228" s="19">
        <v>0.99369</v>
      </c>
      <c r="N228" s="18">
        <f t="shared" si="249"/>
        <v>44716</v>
      </c>
      <c r="O228" s="18">
        <f t="shared" si="249"/>
        <v>4471605</v>
      </c>
      <c r="P228" s="18">
        <f t="shared" si="214"/>
        <v>2682.96</v>
      </c>
      <c r="Q228" s="18">
        <f t="shared" si="215"/>
        <v>14854</v>
      </c>
      <c r="R228" s="16" t="s">
        <v>607</v>
      </c>
      <c r="S228" s="4">
        <f t="shared" si="216"/>
        <v>160070036</v>
      </c>
      <c r="W228" s="4"/>
      <c r="X228" s="4"/>
      <c r="AD228" s="4" t="s">
        <v>447</v>
      </c>
      <c r="AE228" s="4">
        <v>160040014</v>
      </c>
    </row>
    <row r="229" s="2" customFormat="1" spans="1:31">
      <c r="A229" s="4">
        <v>227</v>
      </c>
      <c r="B229" s="5" t="s">
        <v>608</v>
      </c>
      <c r="C229" s="13" t="s">
        <v>598</v>
      </c>
      <c r="D229" s="17" t="s">
        <v>26</v>
      </c>
      <c r="E229" s="13">
        <v>6</v>
      </c>
      <c r="F229" s="31">
        <v>1</v>
      </c>
      <c r="G229" s="31">
        <v>1</v>
      </c>
      <c r="H229" s="6">
        <f t="shared" si="210"/>
        <v>1</v>
      </c>
      <c r="I229" s="4">
        <f t="shared" si="211"/>
        <v>302142</v>
      </c>
      <c r="J229" s="13">
        <f>ROUND(VLOOKUP(D229,[1]物品容器!$T$3:$U$8,2,FALSE)*M229,0)</f>
        <v>302142</v>
      </c>
      <c r="K229" s="18">
        <f t="shared" si="212"/>
        <v>302142</v>
      </c>
      <c r="L229" s="18">
        <f t="shared" ref="L229:O229" si="250">ROUND($I229*L$2,0)</f>
        <v>181285</v>
      </c>
      <c r="M229" s="19">
        <v>1.00714</v>
      </c>
      <c r="N229" s="18">
        <f t="shared" si="250"/>
        <v>45321</v>
      </c>
      <c r="O229" s="18">
        <f t="shared" si="250"/>
        <v>4532130</v>
      </c>
      <c r="P229" s="18">
        <f t="shared" si="214"/>
        <v>2719.275</v>
      </c>
      <c r="Q229" s="18">
        <f t="shared" si="215"/>
        <v>15055</v>
      </c>
      <c r="R229" s="16" t="s">
        <v>609</v>
      </c>
      <c r="S229" s="4">
        <f t="shared" si="216"/>
        <v>160070037</v>
      </c>
      <c r="W229" s="4"/>
      <c r="X229" s="4"/>
      <c r="AD229" s="4" t="s">
        <v>449</v>
      </c>
      <c r="AE229" s="4">
        <v>160040015</v>
      </c>
    </row>
    <row r="230" s="2" customFormat="1" spans="1:31">
      <c r="A230" s="4">
        <v>228</v>
      </c>
      <c r="B230" s="5" t="s">
        <v>610</v>
      </c>
      <c r="C230" s="13" t="s">
        <v>598</v>
      </c>
      <c r="D230" s="17" t="s">
        <v>26</v>
      </c>
      <c r="E230" s="13">
        <v>7</v>
      </c>
      <c r="F230" s="31">
        <v>2</v>
      </c>
      <c r="G230" s="31">
        <v>2</v>
      </c>
      <c r="H230" s="6">
        <f t="shared" si="210"/>
        <v>0.91</v>
      </c>
      <c r="I230" s="4">
        <f t="shared" si="211"/>
        <v>1090133</v>
      </c>
      <c r="J230" s="13">
        <f>ROUND(VLOOKUP(D230,[1]物品容器!$T$3:$U$8,2,FALSE)*M230,0)</f>
        <v>299487</v>
      </c>
      <c r="K230" s="18">
        <f t="shared" si="212"/>
        <v>272533</v>
      </c>
      <c r="L230" s="18">
        <f t="shared" ref="L230:O230" si="251">ROUND($I230*L$2,0)</f>
        <v>654080</v>
      </c>
      <c r="M230" s="19">
        <v>0.99829</v>
      </c>
      <c r="N230" s="18">
        <f t="shared" si="251"/>
        <v>163520</v>
      </c>
      <c r="O230" s="18">
        <f t="shared" si="251"/>
        <v>16351995</v>
      </c>
      <c r="P230" s="18">
        <f t="shared" si="214"/>
        <v>9811.2</v>
      </c>
      <c r="Q230" s="18">
        <f t="shared" si="215"/>
        <v>54320</v>
      </c>
      <c r="R230" s="16" t="s">
        <v>611</v>
      </c>
      <c r="S230" s="4">
        <f t="shared" si="216"/>
        <v>160070038</v>
      </c>
      <c r="W230" s="4"/>
      <c r="X230" s="4"/>
      <c r="AD230" s="4" t="s">
        <v>451</v>
      </c>
      <c r="AE230" s="4">
        <v>160040016</v>
      </c>
    </row>
    <row r="231" s="2" customFormat="1" spans="1:31">
      <c r="A231" s="4">
        <v>229</v>
      </c>
      <c r="B231" s="5" t="s">
        <v>612</v>
      </c>
      <c r="C231" s="13" t="s">
        <v>598</v>
      </c>
      <c r="D231" s="17" t="s">
        <v>26</v>
      </c>
      <c r="E231" s="13">
        <v>8</v>
      </c>
      <c r="F231" s="31">
        <v>1</v>
      </c>
      <c r="G231" s="31">
        <v>1</v>
      </c>
      <c r="H231" s="6">
        <f t="shared" si="210"/>
        <v>1</v>
      </c>
      <c r="I231" s="4">
        <f t="shared" si="211"/>
        <v>300651</v>
      </c>
      <c r="J231" s="13">
        <f>ROUND(VLOOKUP(D231,[1]物品容器!$T$3:$U$8,2,FALSE)*M231,0)</f>
        <v>300651</v>
      </c>
      <c r="K231" s="18">
        <f t="shared" si="212"/>
        <v>300651</v>
      </c>
      <c r="L231" s="18">
        <f t="shared" ref="L231:O231" si="252">ROUND($I231*L$2,0)</f>
        <v>180391</v>
      </c>
      <c r="M231" s="19">
        <v>1.00217</v>
      </c>
      <c r="N231" s="18">
        <f t="shared" si="252"/>
        <v>45098</v>
      </c>
      <c r="O231" s="18">
        <f t="shared" si="252"/>
        <v>4509765</v>
      </c>
      <c r="P231" s="18">
        <f t="shared" si="214"/>
        <v>2705.865</v>
      </c>
      <c r="Q231" s="18">
        <f t="shared" si="215"/>
        <v>14981</v>
      </c>
      <c r="R231" s="16" t="s">
        <v>613</v>
      </c>
      <c r="S231" s="4">
        <f t="shared" si="216"/>
        <v>160070039</v>
      </c>
      <c r="W231" s="4"/>
      <c r="X231" s="4"/>
      <c r="AD231" s="4" t="s">
        <v>453</v>
      </c>
      <c r="AE231" s="4">
        <v>160040017</v>
      </c>
    </row>
    <row r="232" s="2" customFormat="1" spans="1:31">
      <c r="A232" s="4">
        <v>230</v>
      </c>
      <c r="B232" s="5" t="s">
        <v>614</v>
      </c>
      <c r="C232" s="13" t="s">
        <v>598</v>
      </c>
      <c r="D232" s="17" t="s">
        <v>26</v>
      </c>
      <c r="E232" s="13">
        <v>9</v>
      </c>
      <c r="F232" s="31">
        <v>1</v>
      </c>
      <c r="G232" s="31">
        <v>1</v>
      </c>
      <c r="H232" s="6">
        <f t="shared" si="210"/>
        <v>1</v>
      </c>
      <c r="I232" s="4">
        <f t="shared" si="211"/>
        <v>299352</v>
      </c>
      <c r="J232" s="13">
        <f>ROUND(VLOOKUP(D232,[1]物品容器!$T$3:$U$8,2,FALSE)*M232,0)</f>
        <v>299352</v>
      </c>
      <c r="K232" s="18">
        <f t="shared" si="212"/>
        <v>299352</v>
      </c>
      <c r="L232" s="18">
        <f t="shared" ref="L232:O232" si="253">ROUND($I232*L$2,0)</f>
        <v>179611</v>
      </c>
      <c r="M232" s="19">
        <v>0.99784</v>
      </c>
      <c r="N232" s="18">
        <f t="shared" si="253"/>
        <v>44903</v>
      </c>
      <c r="O232" s="18">
        <f t="shared" si="253"/>
        <v>4490280</v>
      </c>
      <c r="P232" s="18">
        <f t="shared" si="214"/>
        <v>2694.165</v>
      </c>
      <c r="Q232" s="18">
        <f t="shared" si="215"/>
        <v>14916</v>
      </c>
      <c r="R232" s="16" t="s">
        <v>615</v>
      </c>
      <c r="S232" s="4">
        <f t="shared" si="216"/>
        <v>160070040</v>
      </c>
      <c r="W232" s="4"/>
      <c r="X232" s="4"/>
      <c r="AD232" s="4" t="s">
        <v>457</v>
      </c>
      <c r="AE232" s="4">
        <v>160040018</v>
      </c>
    </row>
    <row r="233" s="2" customFormat="1" spans="1:31">
      <c r="A233" s="4">
        <v>231</v>
      </c>
      <c r="B233" s="5" t="s">
        <v>616</v>
      </c>
      <c r="C233" s="13" t="s">
        <v>598</v>
      </c>
      <c r="D233" s="17" t="s">
        <v>26</v>
      </c>
      <c r="E233" s="13">
        <v>10</v>
      </c>
      <c r="F233" s="31">
        <v>1</v>
      </c>
      <c r="G233" s="31">
        <v>1</v>
      </c>
      <c r="H233" s="6">
        <f t="shared" si="210"/>
        <v>1</v>
      </c>
      <c r="I233" s="4">
        <f t="shared" si="211"/>
        <v>301494</v>
      </c>
      <c r="J233" s="13">
        <f>ROUND(VLOOKUP(D233,[1]物品容器!$T$3:$U$8,2,FALSE)*M233,0)</f>
        <v>301494</v>
      </c>
      <c r="K233" s="18">
        <f t="shared" si="212"/>
        <v>301494</v>
      </c>
      <c r="L233" s="18">
        <f t="shared" ref="L233:O233" si="254">ROUND($I233*L$2,0)</f>
        <v>180896</v>
      </c>
      <c r="M233" s="19">
        <v>1.00498</v>
      </c>
      <c r="N233" s="18">
        <f t="shared" si="254"/>
        <v>45224</v>
      </c>
      <c r="O233" s="18">
        <f t="shared" si="254"/>
        <v>4522410</v>
      </c>
      <c r="P233" s="18">
        <f t="shared" si="214"/>
        <v>2713.44</v>
      </c>
      <c r="Q233" s="18">
        <f t="shared" si="215"/>
        <v>15023</v>
      </c>
      <c r="R233" s="16" t="s">
        <v>617</v>
      </c>
      <c r="S233" s="4">
        <f t="shared" si="216"/>
        <v>160070041</v>
      </c>
      <c r="W233" s="4"/>
      <c r="X233" s="4"/>
      <c r="AD233" s="4" t="s">
        <v>459</v>
      </c>
      <c r="AE233" s="4">
        <v>160040019</v>
      </c>
    </row>
    <row r="234" s="2" customFormat="1" spans="1:31">
      <c r="A234" s="4">
        <v>232</v>
      </c>
      <c r="B234" s="5" t="s">
        <v>618</v>
      </c>
      <c r="C234" s="13" t="s">
        <v>598</v>
      </c>
      <c r="D234" s="17" t="s">
        <v>26</v>
      </c>
      <c r="E234" s="13">
        <v>11</v>
      </c>
      <c r="F234" s="31">
        <v>1</v>
      </c>
      <c r="G234" s="31">
        <v>1</v>
      </c>
      <c r="H234" s="6">
        <f t="shared" si="210"/>
        <v>1</v>
      </c>
      <c r="I234" s="4">
        <f t="shared" si="211"/>
        <v>298167</v>
      </c>
      <c r="J234" s="13">
        <f>ROUND(VLOOKUP(D234,[1]物品容器!$T$3:$U$8,2,FALSE)*M234,0)</f>
        <v>298167</v>
      </c>
      <c r="K234" s="18">
        <f t="shared" si="212"/>
        <v>298167</v>
      </c>
      <c r="L234" s="18">
        <f t="shared" ref="L234:O234" si="255">ROUND($I234*L$2,0)</f>
        <v>178900</v>
      </c>
      <c r="M234" s="19">
        <v>0.99389</v>
      </c>
      <c r="N234" s="18">
        <f t="shared" si="255"/>
        <v>44725</v>
      </c>
      <c r="O234" s="18">
        <f t="shared" si="255"/>
        <v>4472505</v>
      </c>
      <c r="P234" s="18">
        <f t="shared" si="214"/>
        <v>2683.5</v>
      </c>
      <c r="Q234" s="18">
        <f t="shared" si="215"/>
        <v>14857</v>
      </c>
      <c r="R234" s="16" t="s">
        <v>619</v>
      </c>
      <c r="S234" s="4">
        <f t="shared" si="216"/>
        <v>160070042</v>
      </c>
      <c r="W234" s="4"/>
      <c r="X234" s="4"/>
      <c r="AD234" s="4" t="s">
        <v>424</v>
      </c>
      <c r="AE234" s="4">
        <v>160040020</v>
      </c>
    </row>
    <row r="235" s="2" customFormat="1" spans="1:31">
      <c r="A235" s="4">
        <v>233</v>
      </c>
      <c r="B235" s="5" t="s">
        <v>620</v>
      </c>
      <c r="C235" s="13" t="s">
        <v>598</v>
      </c>
      <c r="D235" s="22" t="s">
        <v>41</v>
      </c>
      <c r="E235" s="13">
        <v>12</v>
      </c>
      <c r="F235" s="31">
        <v>1</v>
      </c>
      <c r="G235" s="31">
        <v>2</v>
      </c>
      <c r="H235" s="6">
        <f t="shared" si="210"/>
        <v>0.97</v>
      </c>
      <c r="I235" s="4">
        <f t="shared" si="211"/>
        <v>192551</v>
      </c>
      <c r="J235" s="13">
        <f>ROUND(VLOOKUP(D235,[1]物品容器!$T$3:$U$8,2,FALSE)*M235,0)</f>
        <v>99253</v>
      </c>
      <c r="K235" s="18">
        <f t="shared" si="212"/>
        <v>96275</v>
      </c>
      <c r="L235" s="18">
        <f t="shared" ref="L235:O235" si="256">ROUND($I235*L$2,0)</f>
        <v>115531</v>
      </c>
      <c r="M235" s="19">
        <v>0.99253</v>
      </c>
      <c r="N235" s="18">
        <f t="shared" si="256"/>
        <v>28883</v>
      </c>
      <c r="O235" s="18">
        <f t="shared" si="256"/>
        <v>2888265</v>
      </c>
      <c r="P235" s="18">
        <f t="shared" si="214"/>
        <v>1732.965</v>
      </c>
      <c r="Q235" s="18">
        <f t="shared" si="215"/>
        <v>9595</v>
      </c>
      <c r="R235" s="16" t="s">
        <v>621</v>
      </c>
      <c r="S235" s="4">
        <f t="shared" si="216"/>
        <v>160070020</v>
      </c>
      <c r="W235" s="4"/>
      <c r="X235" s="4"/>
      <c r="AD235" s="4" t="s">
        <v>427</v>
      </c>
      <c r="AE235" s="4">
        <v>160040021</v>
      </c>
    </row>
    <row r="236" s="2" customFormat="1" spans="1:31">
      <c r="A236" s="4">
        <v>234</v>
      </c>
      <c r="B236" s="5" t="s">
        <v>622</v>
      </c>
      <c r="C236" s="13" t="s">
        <v>598</v>
      </c>
      <c r="D236" s="22" t="s">
        <v>41</v>
      </c>
      <c r="E236" s="13">
        <v>13</v>
      </c>
      <c r="F236" s="31">
        <v>1</v>
      </c>
      <c r="G236" s="31">
        <v>2</v>
      </c>
      <c r="H236" s="6">
        <f t="shared" si="210"/>
        <v>0.97</v>
      </c>
      <c r="I236" s="4">
        <f t="shared" si="211"/>
        <v>195102</v>
      </c>
      <c r="J236" s="13">
        <f>ROUND(VLOOKUP(D236,[1]物品容器!$T$3:$U$8,2,FALSE)*M236,0)</f>
        <v>100568</v>
      </c>
      <c r="K236" s="18">
        <f t="shared" si="212"/>
        <v>97551</v>
      </c>
      <c r="L236" s="18">
        <f t="shared" ref="L236:O236" si="257">ROUND($I236*L$2,0)</f>
        <v>117061</v>
      </c>
      <c r="M236" s="19">
        <v>1.00568</v>
      </c>
      <c r="N236" s="18">
        <f t="shared" si="257"/>
        <v>29265</v>
      </c>
      <c r="O236" s="18">
        <f t="shared" si="257"/>
        <v>2926530</v>
      </c>
      <c r="P236" s="18">
        <f t="shared" si="214"/>
        <v>1755.915</v>
      </c>
      <c r="Q236" s="18">
        <f t="shared" si="215"/>
        <v>9722</v>
      </c>
      <c r="R236" s="16" t="s">
        <v>623</v>
      </c>
      <c r="S236" s="4">
        <f t="shared" si="216"/>
        <v>160070021</v>
      </c>
      <c r="W236" s="4"/>
      <c r="X236" s="4"/>
      <c r="AD236" s="4" t="s">
        <v>430</v>
      </c>
      <c r="AE236" s="4">
        <v>160040022</v>
      </c>
    </row>
    <row r="237" s="2" customFormat="1" spans="1:31">
      <c r="A237" s="4">
        <v>235</v>
      </c>
      <c r="B237" s="5" t="s">
        <v>624</v>
      </c>
      <c r="C237" s="13" t="s">
        <v>598</v>
      </c>
      <c r="D237" s="22" t="s">
        <v>41</v>
      </c>
      <c r="E237" s="13">
        <v>14</v>
      </c>
      <c r="F237" s="31">
        <v>1</v>
      </c>
      <c r="G237" s="23">
        <v>1</v>
      </c>
      <c r="H237" s="6">
        <f t="shared" si="210"/>
        <v>1</v>
      </c>
      <c r="I237" s="4">
        <f t="shared" si="211"/>
        <v>99518</v>
      </c>
      <c r="J237" s="13">
        <f>ROUND(VLOOKUP(D237,[1]物品容器!$T$3:$U$8,2,FALSE)*M237,0)</f>
        <v>99518</v>
      </c>
      <c r="K237" s="18">
        <f t="shared" si="212"/>
        <v>99518</v>
      </c>
      <c r="L237" s="18">
        <f t="shared" ref="L237:O237" si="258">ROUND($I237*L$2,0)</f>
        <v>59711</v>
      </c>
      <c r="M237" s="19">
        <v>0.99518</v>
      </c>
      <c r="N237" s="18">
        <f t="shared" si="258"/>
        <v>14928</v>
      </c>
      <c r="O237" s="18">
        <f t="shared" si="258"/>
        <v>1492770</v>
      </c>
      <c r="P237" s="18">
        <f t="shared" si="214"/>
        <v>895.665</v>
      </c>
      <c r="Q237" s="18">
        <f t="shared" si="215"/>
        <v>4959</v>
      </c>
      <c r="R237" s="16" t="s">
        <v>625</v>
      </c>
      <c r="S237" s="4">
        <f t="shared" si="216"/>
        <v>160070022</v>
      </c>
      <c r="W237" s="4"/>
      <c r="X237" s="4"/>
      <c r="AD237" s="4" t="s">
        <v>433</v>
      </c>
      <c r="AE237" s="4">
        <v>160040023</v>
      </c>
    </row>
    <row r="238" s="2" customFormat="1" spans="1:31">
      <c r="A238" s="4">
        <v>236</v>
      </c>
      <c r="B238" s="5" t="s">
        <v>626</v>
      </c>
      <c r="C238" s="13" t="s">
        <v>598</v>
      </c>
      <c r="D238" s="22" t="s">
        <v>41</v>
      </c>
      <c r="E238" s="13">
        <v>15</v>
      </c>
      <c r="F238" s="31">
        <v>1</v>
      </c>
      <c r="G238" s="31">
        <v>1</v>
      </c>
      <c r="H238" s="6">
        <f t="shared" si="210"/>
        <v>1</v>
      </c>
      <c r="I238" s="4">
        <f t="shared" si="211"/>
        <v>99758</v>
      </c>
      <c r="J238" s="13">
        <f>ROUND(VLOOKUP(D238,[1]物品容器!$T$3:$U$8,2,FALSE)*M238,0)</f>
        <v>99758</v>
      </c>
      <c r="K238" s="18">
        <f t="shared" si="212"/>
        <v>99758</v>
      </c>
      <c r="L238" s="18">
        <f t="shared" ref="L238:O238" si="259">ROUND($I238*L$2,0)</f>
        <v>59855</v>
      </c>
      <c r="M238" s="19">
        <v>0.99758</v>
      </c>
      <c r="N238" s="18">
        <f t="shared" si="259"/>
        <v>14964</v>
      </c>
      <c r="O238" s="18">
        <f t="shared" si="259"/>
        <v>1496370</v>
      </c>
      <c r="P238" s="18">
        <f t="shared" si="214"/>
        <v>897.825</v>
      </c>
      <c r="Q238" s="18">
        <f t="shared" si="215"/>
        <v>4971</v>
      </c>
      <c r="R238" s="16" t="s">
        <v>627</v>
      </c>
      <c r="S238" s="4">
        <f t="shared" si="216"/>
        <v>160070023</v>
      </c>
      <c r="W238" s="4"/>
      <c r="X238" s="4"/>
      <c r="AD238" s="4" t="s">
        <v>436</v>
      </c>
      <c r="AE238" s="4">
        <v>160040024</v>
      </c>
    </row>
    <row r="239" s="2" customFormat="1" spans="1:31">
      <c r="A239" s="4">
        <v>237</v>
      </c>
      <c r="B239" s="5" t="s">
        <v>628</v>
      </c>
      <c r="C239" s="13" t="s">
        <v>598</v>
      </c>
      <c r="D239" s="22" t="s">
        <v>41</v>
      </c>
      <c r="E239" s="13">
        <v>16</v>
      </c>
      <c r="F239" s="31">
        <v>1</v>
      </c>
      <c r="G239" s="31">
        <v>1</v>
      </c>
      <c r="H239" s="6">
        <f t="shared" si="210"/>
        <v>1</v>
      </c>
      <c r="I239" s="4">
        <f t="shared" si="211"/>
        <v>100894</v>
      </c>
      <c r="J239" s="13">
        <f>ROUND(VLOOKUP(D239,[1]物品容器!$T$3:$U$8,2,FALSE)*M239,0)</f>
        <v>100894</v>
      </c>
      <c r="K239" s="18">
        <f t="shared" si="212"/>
        <v>100894</v>
      </c>
      <c r="L239" s="18">
        <f t="shared" ref="L239:O239" si="260">ROUND($I239*L$2,0)</f>
        <v>60536</v>
      </c>
      <c r="M239" s="19">
        <v>1.00894</v>
      </c>
      <c r="N239" s="18">
        <f t="shared" si="260"/>
        <v>15134</v>
      </c>
      <c r="O239" s="18">
        <f t="shared" si="260"/>
        <v>1513410</v>
      </c>
      <c r="P239" s="18">
        <f t="shared" si="214"/>
        <v>908.04</v>
      </c>
      <c r="Q239" s="18">
        <f t="shared" si="215"/>
        <v>5027</v>
      </c>
      <c r="R239" s="16" t="s">
        <v>629</v>
      </c>
      <c r="S239" s="4">
        <f t="shared" si="216"/>
        <v>160070024</v>
      </c>
      <c r="W239" s="4"/>
      <c r="X239" s="4"/>
      <c r="AD239" s="4" t="s">
        <v>445</v>
      </c>
      <c r="AE239" s="4">
        <v>160040025</v>
      </c>
    </row>
    <row r="240" s="2" customFormat="1" spans="1:31">
      <c r="A240" s="4">
        <v>238</v>
      </c>
      <c r="B240" s="5" t="s">
        <v>630</v>
      </c>
      <c r="C240" s="13" t="s">
        <v>598</v>
      </c>
      <c r="D240" s="22" t="s">
        <v>41</v>
      </c>
      <c r="E240" s="13">
        <v>17</v>
      </c>
      <c r="F240" s="31">
        <v>1</v>
      </c>
      <c r="G240" s="31">
        <v>2</v>
      </c>
      <c r="H240" s="6">
        <f t="shared" si="210"/>
        <v>0.97</v>
      </c>
      <c r="I240" s="4">
        <f t="shared" si="211"/>
        <v>193046</v>
      </c>
      <c r="J240" s="13">
        <f>ROUND(VLOOKUP(D240,[1]物品容器!$T$3:$U$8,2,FALSE)*M240,0)</f>
        <v>99508</v>
      </c>
      <c r="K240" s="18">
        <f t="shared" si="212"/>
        <v>96523</v>
      </c>
      <c r="L240" s="18">
        <f t="shared" ref="L240:O240" si="261">ROUND($I240*L$2,0)</f>
        <v>115828</v>
      </c>
      <c r="M240" s="19">
        <v>0.99508</v>
      </c>
      <c r="N240" s="18">
        <f t="shared" si="261"/>
        <v>28957</v>
      </c>
      <c r="O240" s="18">
        <f t="shared" si="261"/>
        <v>2895690</v>
      </c>
      <c r="P240" s="18">
        <f t="shared" si="214"/>
        <v>1737.42</v>
      </c>
      <c r="Q240" s="18">
        <f t="shared" si="215"/>
        <v>9619</v>
      </c>
      <c r="R240" s="16" t="s">
        <v>631</v>
      </c>
      <c r="S240" s="4">
        <f t="shared" si="216"/>
        <v>160070025</v>
      </c>
      <c r="W240" s="4"/>
      <c r="X240" s="4"/>
      <c r="AD240" s="4" t="s">
        <v>455</v>
      </c>
      <c r="AE240" s="4">
        <v>160040026</v>
      </c>
    </row>
    <row r="241" s="2" customFormat="1" spans="1:31">
      <c r="A241" s="4">
        <v>239</v>
      </c>
      <c r="B241" s="5" t="s">
        <v>632</v>
      </c>
      <c r="C241" s="13" t="s">
        <v>598</v>
      </c>
      <c r="D241" s="22" t="s">
        <v>41</v>
      </c>
      <c r="E241" s="13">
        <v>18</v>
      </c>
      <c r="F241" s="31">
        <v>1</v>
      </c>
      <c r="G241" s="31">
        <v>2</v>
      </c>
      <c r="H241" s="6">
        <f t="shared" si="210"/>
        <v>0.97</v>
      </c>
      <c r="I241" s="4">
        <f t="shared" si="211"/>
        <v>193340</v>
      </c>
      <c r="J241" s="13">
        <f>ROUND(VLOOKUP(D241,[1]物品容器!$T$3:$U$8,2,FALSE)*M241,0)</f>
        <v>99660</v>
      </c>
      <c r="K241" s="18">
        <f t="shared" si="212"/>
        <v>96670</v>
      </c>
      <c r="L241" s="18">
        <f t="shared" ref="L241:O241" si="262">ROUND($I241*L$2,0)</f>
        <v>116004</v>
      </c>
      <c r="M241" s="19">
        <v>0.9966</v>
      </c>
      <c r="N241" s="18">
        <f t="shared" si="262"/>
        <v>29001</v>
      </c>
      <c r="O241" s="18">
        <f t="shared" si="262"/>
        <v>2900100</v>
      </c>
      <c r="P241" s="18">
        <f t="shared" si="214"/>
        <v>1740.06</v>
      </c>
      <c r="Q241" s="18">
        <f t="shared" si="215"/>
        <v>9634</v>
      </c>
      <c r="R241" s="16" t="s">
        <v>633</v>
      </c>
      <c r="S241" s="4">
        <f t="shared" si="216"/>
        <v>160070026</v>
      </c>
      <c r="W241" s="4"/>
      <c r="X241" s="4"/>
      <c r="AD241" s="4" t="s">
        <v>471</v>
      </c>
      <c r="AE241" s="4">
        <v>160040027</v>
      </c>
    </row>
    <row r="242" s="2" customFormat="1" spans="1:31">
      <c r="A242" s="4">
        <v>240</v>
      </c>
      <c r="B242" s="5" t="s">
        <v>634</v>
      </c>
      <c r="C242" s="13" t="s">
        <v>598</v>
      </c>
      <c r="D242" s="22" t="s">
        <v>41</v>
      </c>
      <c r="E242" s="13">
        <v>19</v>
      </c>
      <c r="F242" s="31">
        <v>1</v>
      </c>
      <c r="G242" s="23">
        <v>2</v>
      </c>
      <c r="H242" s="6">
        <f t="shared" si="210"/>
        <v>0.97</v>
      </c>
      <c r="I242" s="4">
        <f t="shared" si="211"/>
        <v>194390</v>
      </c>
      <c r="J242" s="13">
        <f>ROUND(VLOOKUP(D242,[1]物品容器!$T$3:$U$8,2,FALSE)*M242,0)</f>
        <v>100201</v>
      </c>
      <c r="K242" s="18">
        <f t="shared" si="212"/>
        <v>97195</v>
      </c>
      <c r="L242" s="18">
        <f t="shared" ref="L242:O242" si="263">ROUND($I242*L$2,0)</f>
        <v>116634</v>
      </c>
      <c r="M242" s="19">
        <v>1.00201</v>
      </c>
      <c r="N242" s="18">
        <f t="shared" si="263"/>
        <v>29159</v>
      </c>
      <c r="O242" s="18">
        <f t="shared" si="263"/>
        <v>2915850</v>
      </c>
      <c r="P242" s="18">
        <f t="shared" si="214"/>
        <v>1749.51</v>
      </c>
      <c r="Q242" s="18">
        <f t="shared" si="215"/>
        <v>9686</v>
      </c>
      <c r="R242" s="16" t="s">
        <v>635</v>
      </c>
      <c r="S242" s="4">
        <f t="shared" si="216"/>
        <v>160070027</v>
      </c>
      <c r="W242" s="4"/>
      <c r="X242" s="4"/>
      <c r="AD242" s="4" t="s">
        <v>473</v>
      </c>
      <c r="AE242" s="4">
        <v>160040028</v>
      </c>
    </row>
    <row r="243" s="2" customFormat="1" spans="1:31">
      <c r="A243" s="4">
        <v>241</v>
      </c>
      <c r="B243" s="5" t="s">
        <v>636</v>
      </c>
      <c r="C243" s="13" t="s">
        <v>598</v>
      </c>
      <c r="D243" s="22" t="s">
        <v>41</v>
      </c>
      <c r="E243" s="13">
        <v>20</v>
      </c>
      <c r="F243" s="31">
        <v>1</v>
      </c>
      <c r="G243" s="31">
        <v>1</v>
      </c>
      <c r="H243" s="6">
        <f t="shared" si="210"/>
        <v>1</v>
      </c>
      <c r="I243" s="4">
        <f t="shared" si="211"/>
        <v>99160</v>
      </c>
      <c r="J243" s="13">
        <f>ROUND(VLOOKUP(D243,[1]物品容器!$T$3:$U$8,2,FALSE)*M243,0)</f>
        <v>99160</v>
      </c>
      <c r="K243" s="18">
        <f t="shared" si="212"/>
        <v>99160</v>
      </c>
      <c r="L243" s="18">
        <f t="shared" ref="L243:O243" si="264">ROUND($I243*L$2,0)</f>
        <v>59496</v>
      </c>
      <c r="M243" s="19">
        <v>0.9916</v>
      </c>
      <c r="N243" s="18">
        <f t="shared" si="264"/>
        <v>14874</v>
      </c>
      <c r="O243" s="18">
        <f t="shared" si="264"/>
        <v>1487400</v>
      </c>
      <c r="P243" s="18">
        <f t="shared" si="214"/>
        <v>892.44</v>
      </c>
      <c r="Q243" s="18">
        <f t="shared" si="215"/>
        <v>4941</v>
      </c>
      <c r="R243" s="16" t="s">
        <v>637</v>
      </c>
      <c r="S243" s="4">
        <f t="shared" si="216"/>
        <v>160070028</v>
      </c>
      <c r="W243" s="4"/>
      <c r="X243" s="4"/>
      <c r="AD243" s="4" t="s">
        <v>477</v>
      </c>
      <c r="AE243" s="4">
        <v>160040029</v>
      </c>
    </row>
    <row r="244" s="2" customFormat="1" spans="1:31">
      <c r="A244" s="4">
        <v>242</v>
      </c>
      <c r="B244" s="5" t="s">
        <v>638</v>
      </c>
      <c r="C244" s="13" t="s">
        <v>598</v>
      </c>
      <c r="D244" s="22" t="s">
        <v>41</v>
      </c>
      <c r="E244" s="13">
        <v>21</v>
      </c>
      <c r="F244" s="31">
        <v>1</v>
      </c>
      <c r="G244" s="31">
        <v>2</v>
      </c>
      <c r="H244" s="6">
        <f t="shared" si="210"/>
        <v>0.97</v>
      </c>
      <c r="I244" s="4">
        <f t="shared" si="211"/>
        <v>193304</v>
      </c>
      <c r="J244" s="13">
        <f>ROUND(VLOOKUP(D244,[1]物品容器!$T$3:$U$8,2,FALSE)*M244,0)</f>
        <v>99641</v>
      </c>
      <c r="K244" s="18">
        <f t="shared" si="212"/>
        <v>96652</v>
      </c>
      <c r="L244" s="18">
        <f t="shared" ref="L244:O244" si="265">ROUND($I244*L$2,0)</f>
        <v>115982</v>
      </c>
      <c r="M244" s="19">
        <v>0.99641</v>
      </c>
      <c r="N244" s="18">
        <f t="shared" si="265"/>
        <v>28996</v>
      </c>
      <c r="O244" s="18">
        <f t="shared" si="265"/>
        <v>2899560</v>
      </c>
      <c r="P244" s="18">
        <f t="shared" si="214"/>
        <v>1739.73</v>
      </c>
      <c r="Q244" s="18">
        <f t="shared" si="215"/>
        <v>9632</v>
      </c>
      <c r="R244" s="16" t="s">
        <v>639</v>
      </c>
      <c r="S244" s="4">
        <f t="shared" si="216"/>
        <v>160070029</v>
      </c>
      <c r="W244" s="4"/>
      <c r="X244" s="4"/>
      <c r="AD244" s="4" t="s">
        <v>479</v>
      </c>
      <c r="AE244" s="4">
        <v>160040030</v>
      </c>
    </row>
    <row r="245" s="2" customFormat="1" spans="1:31">
      <c r="A245" s="4">
        <v>243</v>
      </c>
      <c r="B245" s="5" t="s">
        <v>640</v>
      </c>
      <c r="C245" s="13" t="s">
        <v>598</v>
      </c>
      <c r="D245" s="22" t="s">
        <v>41</v>
      </c>
      <c r="E245" s="13">
        <v>22</v>
      </c>
      <c r="F245" s="31">
        <v>1</v>
      </c>
      <c r="G245" s="31">
        <v>1</v>
      </c>
      <c r="H245" s="6">
        <f t="shared" si="210"/>
        <v>1</v>
      </c>
      <c r="I245" s="4">
        <f t="shared" si="211"/>
        <v>99611</v>
      </c>
      <c r="J245" s="13">
        <f>ROUND(VLOOKUP(D245,[1]物品容器!$T$3:$U$8,2,FALSE)*M245,0)</f>
        <v>99611</v>
      </c>
      <c r="K245" s="18">
        <f t="shared" si="212"/>
        <v>99611</v>
      </c>
      <c r="L245" s="18">
        <f t="shared" ref="L245:O245" si="266">ROUND($I245*L$2,0)</f>
        <v>59767</v>
      </c>
      <c r="M245" s="19">
        <v>0.99611</v>
      </c>
      <c r="N245" s="18">
        <f t="shared" si="266"/>
        <v>14942</v>
      </c>
      <c r="O245" s="18">
        <f t="shared" si="266"/>
        <v>1494165</v>
      </c>
      <c r="P245" s="18">
        <f t="shared" si="214"/>
        <v>896.505</v>
      </c>
      <c r="Q245" s="18">
        <f t="shared" si="215"/>
        <v>4964</v>
      </c>
      <c r="R245" s="16" t="s">
        <v>641</v>
      </c>
      <c r="S245" s="4">
        <f t="shared" si="216"/>
        <v>160070030</v>
      </c>
      <c r="W245" s="4"/>
      <c r="X245" s="4"/>
      <c r="AD245" s="4" t="s">
        <v>465</v>
      </c>
      <c r="AE245" s="4">
        <v>160040031</v>
      </c>
    </row>
    <row r="246" s="2" customFormat="1" spans="1:31">
      <c r="A246" s="4">
        <v>244</v>
      </c>
      <c r="B246" s="5" t="s">
        <v>642</v>
      </c>
      <c r="C246" s="13" t="s">
        <v>598</v>
      </c>
      <c r="D246" s="22" t="s">
        <v>41</v>
      </c>
      <c r="E246" s="13">
        <v>23</v>
      </c>
      <c r="F246" s="31">
        <v>1</v>
      </c>
      <c r="G246" s="31">
        <v>1</v>
      </c>
      <c r="H246" s="6">
        <f t="shared" si="210"/>
        <v>1</v>
      </c>
      <c r="I246" s="4">
        <f t="shared" si="211"/>
        <v>99177</v>
      </c>
      <c r="J246" s="13">
        <f>ROUND(VLOOKUP(D246,[1]物品容器!$T$3:$U$8,2,FALSE)*M246,0)</f>
        <v>99177</v>
      </c>
      <c r="K246" s="18">
        <f t="shared" si="212"/>
        <v>99177</v>
      </c>
      <c r="L246" s="18">
        <f t="shared" ref="L246:O246" si="267">ROUND($I246*L$2,0)</f>
        <v>59506</v>
      </c>
      <c r="M246" s="19">
        <v>0.99177</v>
      </c>
      <c r="N246" s="18">
        <f t="shared" si="267"/>
        <v>14877</v>
      </c>
      <c r="O246" s="18">
        <f t="shared" si="267"/>
        <v>1487655</v>
      </c>
      <c r="P246" s="18">
        <f t="shared" si="214"/>
        <v>892.59</v>
      </c>
      <c r="Q246" s="18">
        <f t="shared" si="215"/>
        <v>4942</v>
      </c>
      <c r="R246" s="16" t="s">
        <v>643</v>
      </c>
      <c r="S246" s="4">
        <f t="shared" si="216"/>
        <v>160070031</v>
      </c>
      <c r="W246" s="4"/>
      <c r="X246" s="4"/>
      <c r="AD246" s="4" t="s">
        <v>462</v>
      </c>
      <c r="AE246" s="4">
        <v>160040032</v>
      </c>
    </row>
    <row r="247" s="2" customFormat="1" spans="1:31">
      <c r="A247" s="4">
        <v>245</v>
      </c>
      <c r="B247" s="5" t="s">
        <v>644</v>
      </c>
      <c r="C247" s="13" t="s">
        <v>598</v>
      </c>
      <c r="D247" s="24" t="s">
        <v>63</v>
      </c>
      <c r="E247" s="13">
        <v>24</v>
      </c>
      <c r="F247" s="31">
        <v>1</v>
      </c>
      <c r="G247" s="31">
        <v>2</v>
      </c>
      <c r="H247" s="6">
        <f t="shared" si="210"/>
        <v>0.97</v>
      </c>
      <c r="I247" s="4">
        <f t="shared" si="211"/>
        <v>57862</v>
      </c>
      <c r="J247" s="13">
        <f>ROUND(VLOOKUP(D247,[1]物品容器!$T$3:$U$8,2,FALSE)*M247,0)</f>
        <v>29826</v>
      </c>
      <c r="K247" s="18">
        <f t="shared" si="212"/>
        <v>28931</v>
      </c>
      <c r="L247" s="18">
        <f t="shared" ref="L247:O247" si="268">ROUND($I247*L$2,0)</f>
        <v>34717</v>
      </c>
      <c r="M247" s="19">
        <v>0.9942</v>
      </c>
      <c r="N247" s="18">
        <f t="shared" si="268"/>
        <v>8679</v>
      </c>
      <c r="O247" s="18">
        <f t="shared" si="268"/>
        <v>867930</v>
      </c>
      <c r="P247" s="18">
        <f t="shared" si="214"/>
        <v>520.755</v>
      </c>
      <c r="Q247" s="18">
        <f t="shared" si="215"/>
        <v>2883</v>
      </c>
      <c r="R247" s="16" t="s">
        <v>645</v>
      </c>
      <c r="S247" s="4">
        <f t="shared" si="216"/>
        <v>160070012</v>
      </c>
      <c r="W247" s="4"/>
      <c r="X247" s="4"/>
      <c r="AD247" s="4" t="s">
        <v>468</v>
      </c>
      <c r="AE247" s="4">
        <v>160040033</v>
      </c>
    </row>
    <row r="248" s="2" customFormat="1" spans="1:31">
      <c r="A248" s="4">
        <v>246</v>
      </c>
      <c r="B248" s="5" t="s">
        <v>646</v>
      </c>
      <c r="C248" s="13" t="s">
        <v>598</v>
      </c>
      <c r="D248" s="24" t="s">
        <v>63</v>
      </c>
      <c r="E248" s="13">
        <v>25</v>
      </c>
      <c r="F248" s="31">
        <v>1</v>
      </c>
      <c r="G248" s="31">
        <v>2</v>
      </c>
      <c r="H248" s="6">
        <f t="shared" si="210"/>
        <v>0.97</v>
      </c>
      <c r="I248" s="4">
        <f t="shared" si="211"/>
        <v>58338</v>
      </c>
      <c r="J248" s="13">
        <f>ROUND(VLOOKUP(D248,[1]物品容器!$T$3:$U$8,2,FALSE)*M248,0)</f>
        <v>30071</v>
      </c>
      <c r="K248" s="18">
        <f t="shared" si="212"/>
        <v>29169</v>
      </c>
      <c r="L248" s="18">
        <f t="shared" ref="L248:O248" si="269">ROUND($I248*L$2,0)</f>
        <v>35003</v>
      </c>
      <c r="M248" s="19">
        <v>1.00235</v>
      </c>
      <c r="N248" s="18">
        <f t="shared" si="269"/>
        <v>8751</v>
      </c>
      <c r="O248" s="18">
        <f t="shared" si="269"/>
        <v>875070</v>
      </c>
      <c r="P248" s="18">
        <f t="shared" si="214"/>
        <v>525.045</v>
      </c>
      <c r="Q248" s="18">
        <f t="shared" si="215"/>
        <v>2907</v>
      </c>
      <c r="R248" s="16" t="s">
        <v>647</v>
      </c>
      <c r="S248" s="4">
        <f t="shared" si="216"/>
        <v>160070013</v>
      </c>
      <c r="W248" s="4"/>
      <c r="X248" s="4"/>
      <c r="AD248" s="4" t="s">
        <v>475</v>
      </c>
      <c r="AE248" s="4">
        <v>160040034</v>
      </c>
    </row>
    <row r="249" s="2" customFormat="1" spans="1:31">
      <c r="A249" s="4">
        <v>247</v>
      </c>
      <c r="B249" s="5" t="s">
        <v>648</v>
      </c>
      <c r="C249" s="13" t="s">
        <v>598</v>
      </c>
      <c r="D249" s="24" t="s">
        <v>63</v>
      </c>
      <c r="E249" s="13">
        <v>26</v>
      </c>
      <c r="F249" s="31">
        <v>1</v>
      </c>
      <c r="G249" s="31">
        <v>1</v>
      </c>
      <c r="H249" s="6">
        <f t="shared" si="210"/>
        <v>1</v>
      </c>
      <c r="I249" s="4">
        <f t="shared" si="211"/>
        <v>29901</v>
      </c>
      <c r="J249" s="13">
        <f>ROUND(VLOOKUP(D249,[1]物品容器!$T$3:$U$8,2,FALSE)*M249,0)</f>
        <v>29901</v>
      </c>
      <c r="K249" s="18">
        <f t="shared" si="212"/>
        <v>29901</v>
      </c>
      <c r="L249" s="18">
        <f t="shared" ref="L249:O249" si="270">ROUND($I249*L$2,0)</f>
        <v>17941</v>
      </c>
      <c r="M249" s="19">
        <v>0.99671</v>
      </c>
      <c r="N249" s="18">
        <f t="shared" si="270"/>
        <v>4485</v>
      </c>
      <c r="O249" s="18">
        <f t="shared" si="270"/>
        <v>448515</v>
      </c>
      <c r="P249" s="18">
        <f t="shared" si="214"/>
        <v>269.115</v>
      </c>
      <c r="Q249" s="18">
        <f t="shared" si="215"/>
        <v>1490</v>
      </c>
      <c r="R249" s="16" t="s">
        <v>649</v>
      </c>
      <c r="S249" s="4">
        <f t="shared" si="216"/>
        <v>160070014</v>
      </c>
      <c r="W249" s="4"/>
      <c r="X249" s="4"/>
      <c r="AD249" s="4" t="s">
        <v>397</v>
      </c>
      <c r="AE249" s="4">
        <v>160040035</v>
      </c>
    </row>
    <row r="250" s="2" customFormat="1" spans="1:31">
      <c r="A250" s="4">
        <v>248</v>
      </c>
      <c r="B250" s="5" t="s">
        <v>650</v>
      </c>
      <c r="C250" s="13" t="s">
        <v>598</v>
      </c>
      <c r="D250" s="24" t="s">
        <v>63</v>
      </c>
      <c r="E250" s="13">
        <v>27</v>
      </c>
      <c r="F250" s="31">
        <v>1</v>
      </c>
      <c r="G250" s="31">
        <v>1</v>
      </c>
      <c r="H250" s="6">
        <f t="shared" si="210"/>
        <v>1</v>
      </c>
      <c r="I250" s="4">
        <f t="shared" si="211"/>
        <v>30182</v>
      </c>
      <c r="J250" s="13">
        <f>ROUND(VLOOKUP(D250,[1]物品容器!$T$3:$U$8,2,FALSE)*M250,0)</f>
        <v>30182</v>
      </c>
      <c r="K250" s="18">
        <f t="shared" si="212"/>
        <v>30182</v>
      </c>
      <c r="L250" s="18">
        <f t="shared" ref="L250:O250" si="271">ROUND($I250*L$2,0)</f>
        <v>18109</v>
      </c>
      <c r="M250" s="19">
        <v>1.00606</v>
      </c>
      <c r="N250" s="18">
        <f t="shared" si="271"/>
        <v>4527</v>
      </c>
      <c r="O250" s="18">
        <f t="shared" si="271"/>
        <v>452730</v>
      </c>
      <c r="P250" s="18">
        <f t="shared" si="214"/>
        <v>271.635</v>
      </c>
      <c r="Q250" s="18">
        <f t="shared" si="215"/>
        <v>1504</v>
      </c>
      <c r="R250" s="16" t="s">
        <v>651</v>
      </c>
      <c r="S250" s="4">
        <f t="shared" si="216"/>
        <v>160070015</v>
      </c>
      <c r="W250" s="4"/>
      <c r="X250" s="4"/>
      <c r="AD250" s="4" t="s">
        <v>406</v>
      </c>
      <c r="AE250" s="4">
        <v>160040036</v>
      </c>
    </row>
    <row r="251" s="2" customFormat="1" spans="1:31">
      <c r="A251" s="4">
        <v>249</v>
      </c>
      <c r="B251" s="5" t="s">
        <v>652</v>
      </c>
      <c r="C251" s="13" t="s">
        <v>598</v>
      </c>
      <c r="D251" s="24" t="s">
        <v>63</v>
      </c>
      <c r="E251" s="13">
        <v>28</v>
      </c>
      <c r="F251" s="31">
        <v>1</v>
      </c>
      <c r="G251" s="31">
        <v>1</v>
      </c>
      <c r="H251" s="6">
        <f t="shared" si="210"/>
        <v>1</v>
      </c>
      <c r="I251" s="4">
        <f t="shared" si="211"/>
        <v>29923</v>
      </c>
      <c r="J251" s="13">
        <f>ROUND(VLOOKUP(D251,[1]物品容器!$T$3:$U$8,2,FALSE)*M251,0)</f>
        <v>29923</v>
      </c>
      <c r="K251" s="18">
        <f t="shared" si="212"/>
        <v>29923</v>
      </c>
      <c r="L251" s="18">
        <f t="shared" ref="L251:O251" si="272">ROUND($I251*L$2,0)</f>
        <v>17954</v>
      </c>
      <c r="M251" s="19">
        <v>0.99742</v>
      </c>
      <c r="N251" s="18">
        <f t="shared" si="272"/>
        <v>4488</v>
      </c>
      <c r="O251" s="18">
        <f t="shared" si="272"/>
        <v>448845</v>
      </c>
      <c r="P251" s="18">
        <f t="shared" si="214"/>
        <v>269.31</v>
      </c>
      <c r="Q251" s="18">
        <f t="shared" si="215"/>
        <v>1491</v>
      </c>
      <c r="R251" s="16" t="s">
        <v>653</v>
      </c>
      <c r="S251" s="4">
        <f t="shared" si="216"/>
        <v>160070016</v>
      </c>
      <c r="W251" s="4"/>
      <c r="X251" s="4"/>
      <c r="AD251" s="4" t="s">
        <v>373</v>
      </c>
      <c r="AE251" s="4">
        <v>160040037</v>
      </c>
    </row>
    <row r="252" s="2" customFormat="1" spans="1:31">
      <c r="A252" s="4">
        <v>250</v>
      </c>
      <c r="B252" s="5" t="s">
        <v>654</v>
      </c>
      <c r="C252" s="13" t="s">
        <v>598</v>
      </c>
      <c r="D252" s="24" t="s">
        <v>63</v>
      </c>
      <c r="E252" s="13">
        <v>29</v>
      </c>
      <c r="F252" s="31">
        <v>2</v>
      </c>
      <c r="G252" s="31">
        <v>1</v>
      </c>
      <c r="H252" s="6">
        <f t="shared" si="210"/>
        <v>0.97</v>
      </c>
      <c r="I252" s="4">
        <f t="shared" si="211"/>
        <v>58320</v>
      </c>
      <c r="J252" s="13">
        <f>ROUND(VLOOKUP(D252,[1]物品容器!$T$3:$U$8,2,FALSE)*M252,0)</f>
        <v>30062</v>
      </c>
      <c r="K252" s="18">
        <f t="shared" si="212"/>
        <v>29160</v>
      </c>
      <c r="L252" s="18">
        <f t="shared" ref="L252:O252" si="273">ROUND($I252*L$2,0)</f>
        <v>34992</v>
      </c>
      <c r="M252" s="19">
        <v>1.00205</v>
      </c>
      <c r="N252" s="18">
        <f t="shared" si="273"/>
        <v>8748</v>
      </c>
      <c r="O252" s="18">
        <f t="shared" si="273"/>
        <v>874800</v>
      </c>
      <c r="P252" s="18">
        <f t="shared" si="214"/>
        <v>524.88</v>
      </c>
      <c r="Q252" s="18">
        <f t="shared" si="215"/>
        <v>2906</v>
      </c>
      <c r="R252" s="16" t="s">
        <v>655</v>
      </c>
      <c r="S252" s="4">
        <f t="shared" si="216"/>
        <v>160070017</v>
      </c>
      <c r="W252" s="4"/>
      <c r="X252" s="4"/>
      <c r="AD252" s="4" t="s">
        <v>376</v>
      </c>
      <c r="AE252" s="4">
        <v>160040038</v>
      </c>
    </row>
    <row r="253" s="2" customFormat="1" spans="1:31">
      <c r="A253" s="4">
        <v>251</v>
      </c>
      <c r="B253" s="5" t="s">
        <v>656</v>
      </c>
      <c r="C253" s="13" t="s">
        <v>598</v>
      </c>
      <c r="D253" s="24" t="s">
        <v>63</v>
      </c>
      <c r="E253" s="13">
        <v>30</v>
      </c>
      <c r="F253" s="31">
        <v>1</v>
      </c>
      <c r="G253" s="31">
        <v>1</v>
      </c>
      <c r="H253" s="6">
        <f t="shared" si="210"/>
        <v>1</v>
      </c>
      <c r="I253" s="4">
        <f t="shared" si="211"/>
        <v>29910</v>
      </c>
      <c r="J253" s="13">
        <f>ROUND(VLOOKUP(D253,[1]物品容器!$T$3:$U$8,2,FALSE)*M253,0)</f>
        <v>29910</v>
      </c>
      <c r="K253" s="18">
        <f t="shared" si="212"/>
        <v>29910</v>
      </c>
      <c r="L253" s="18">
        <f t="shared" ref="L253:O253" si="274">ROUND($I253*L$2,0)</f>
        <v>17946</v>
      </c>
      <c r="M253" s="19">
        <v>0.997</v>
      </c>
      <c r="N253" s="18">
        <f t="shared" si="274"/>
        <v>4487</v>
      </c>
      <c r="O253" s="18">
        <f t="shared" si="274"/>
        <v>448650</v>
      </c>
      <c r="P253" s="18">
        <f t="shared" si="214"/>
        <v>269.19</v>
      </c>
      <c r="Q253" s="18">
        <f t="shared" si="215"/>
        <v>1490</v>
      </c>
      <c r="R253" s="2" t="s">
        <v>657</v>
      </c>
      <c r="S253" s="4">
        <f t="shared" si="216"/>
        <v>160070018</v>
      </c>
      <c r="W253" s="4"/>
      <c r="X253" s="4"/>
      <c r="AD253" s="4" t="s">
        <v>379</v>
      </c>
      <c r="AE253" s="4">
        <v>160040039</v>
      </c>
    </row>
    <row r="254" s="2" customFormat="1" spans="1:31">
      <c r="A254" s="4">
        <v>252</v>
      </c>
      <c r="B254" s="5" t="s">
        <v>658</v>
      </c>
      <c r="C254" s="13" t="s">
        <v>598</v>
      </c>
      <c r="D254" s="24" t="s">
        <v>63</v>
      </c>
      <c r="E254" s="13">
        <v>31</v>
      </c>
      <c r="F254" s="31">
        <v>1</v>
      </c>
      <c r="G254" s="31">
        <v>1</v>
      </c>
      <c r="H254" s="6">
        <f t="shared" si="210"/>
        <v>1</v>
      </c>
      <c r="I254" s="4">
        <f t="shared" si="211"/>
        <v>29920</v>
      </c>
      <c r="J254" s="13">
        <f>ROUND(VLOOKUP(D254,[1]物品容器!$T$3:$U$8,2,FALSE)*M254,0)</f>
        <v>29920</v>
      </c>
      <c r="K254" s="18">
        <f t="shared" si="212"/>
        <v>29920</v>
      </c>
      <c r="L254" s="18">
        <f t="shared" ref="L254:O254" si="275">ROUND($I254*L$2,0)</f>
        <v>17952</v>
      </c>
      <c r="M254" s="19">
        <v>0.99732</v>
      </c>
      <c r="N254" s="18">
        <f t="shared" si="275"/>
        <v>4488</v>
      </c>
      <c r="O254" s="18">
        <f t="shared" si="275"/>
        <v>448800</v>
      </c>
      <c r="P254" s="18">
        <f t="shared" si="214"/>
        <v>269.28</v>
      </c>
      <c r="Q254" s="18">
        <f t="shared" si="215"/>
        <v>1491</v>
      </c>
      <c r="R254" s="16" t="s">
        <v>659</v>
      </c>
      <c r="S254" s="4">
        <f t="shared" si="216"/>
        <v>160070019</v>
      </c>
      <c r="W254" s="4"/>
      <c r="X254" s="4"/>
      <c r="AD254" s="4" t="s">
        <v>382</v>
      </c>
      <c r="AE254" s="4">
        <v>160040040</v>
      </c>
    </row>
    <row r="255" s="2" customFormat="1" spans="1:31">
      <c r="A255" s="4">
        <v>253</v>
      </c>
      <c r="B255" s="5" t="s">
        <v>660</v>
      </c>
      <c r="C255" s="13" t="s">
        <v>598</v>
      </c>
      <c r="D255" s="25" t="s">
        <v>76</v>
      </c>
      <c r="E255" s="13">
        <v>32</v>
      </c>
      <c r="F255" s="31">
        <v>1</v>
      </c>
      <c r="G255" s="31">
        <v>2</v>
      </c>
      <c r="H255" s="6">
        <f t="shared" si="210"/>
        <v>0.97</v>
      </c>
      <c r="I255" s="4">
        <f t="shared" si="211"/>
        <v>19582</v>
      </c>
      <c r="J255" s="13">
        <f>ROUND(VLOOKUP(D255,[1]物品容器!$T$3:$U$8,2,FALSE)*M255,0)</f>
        <v>10094</v>
      </c>
      <c r="K255" s="18">
        <f t="shared" si="212"/>
        <v>9791</v>
      </c>
      <c r="L255" s="18">
        <f t="shared" ref="L255:O255" si="276">ROUND($I255*L$2,0)</f>
        <v>11749</v>
      </c>
      <c r="M255" s="19">
        <v>1.00938</v>
      </c>
      <c r="N255" s="18">
        <f t="shared" si="276"/>
        <v>2937</v>
      </c>
      <c r="O255" s="18">
        <f t="shared" si="276"/>
        <v>293730</v>
      </c>
      <c r="P255" s="18">
        <f t="shared" si="214"/>
        <v>176.235</v>
      </c>
      <c r="Q255" s="18">
        <f t="shared" si="215"/>
        <v>976</v>
      </c>
      <c r="R255" s="16" t="s">
        <v>661</v>
      </c>
      <c r="S255" s="4">
        <f t="shared" si="216"/>
        <v>160070008</v>
      </c>
      <c r="W255" s="4"/>
      <c r="X255" s="4"/>
      <c r="AD255" s="4" t="s">
        <v>385</v>
      </c>
      <c r="AE255" s="4">
        <v>160040041</v>
      </c>
    </row>
    <row r="256" s="2" customFormat="1" spans="1:31">
      <c r="A256" s="4">
        <v>254</v>
      </c>
      <c r="B256" s="5" t="s">
        <v>662</v>
      </c>
      <c r="C256" s="13" t="s">
        <v>598</v>
      </c>
      <c r="D256" s="25" t="s">
        <v>76</v>
      </c>
      <c r="E256" s="13">
        <v>33</v>
      </c>
      <c r="F256" s="31">
        <v>1</v>
      </c>
      <c r="G256" s="23">
        <v>2</v>
      </c>
      <c r="H256" s="6">
        <f t="shared" si="210"/>
        <v>0.97</v>
      </c>
      <c r="I256" s="4">
        <f t="shared" si="211"/>
        <v>19280</v>
      </c>
      <c r="J256" s="13">
        <f>ROUND(VLOOKUP(D256,[1]物品容器!$T$3:$U$8,2,FALSE)*M256,0)</f>
        <v>9938</v>
      </c>
      <c r="K256" s="18">
        <f t="shared" si="212"/>
        <v>9640</v>
      </c>
      <c r="L256" s="18">
        <f t="shared" ref="L256:O256" si="277">ROUND($I256*L$2,0)</f>
        <v>11568</v>
      </c>
      <c r="M256" s="19">
        <v>0.99376</v>
      </c>
      <c r="N256" s="18">
        <f t="shared" si="277"/>
        <v>2892</v>
      </c>
      <c r="O256" s="18">
        <f t="shared" si="277"/>
        <v>289200</v>
      </c>
      <c r="P256" s="18">
        <f t="shared" si="214"/>
        <v>173.52</v>
      </c>
      <c r="Q256" s="18">
        <f t="shared" si="215"/>
        <v>961</v>
      </c>
      <c r="R256" s="16" t="s">
        <v>663</v>
      </c>
      <c r="S256" s="4">
        <f t="shared" si="216"/>
        <v>160070010</v>
      </c>
      <c r="W256" s="4"/>
      <c r="X256" s="4"/>
      <c r="AD256" s="4" t="s">
        <v>388</v>
      </c>
      <c r="AE256" s="4">
        <v>160040042</v>
      </c>
    </row>
    <row r="257" s="2" customFormat="1" spans="1:31">
      <c r="A257" s="4">
        <v>255</v>
      </c>
      <c r="B257" s="5" t="s">
        <v>664</v>
      </c>
      <c r="C257" s="13" t="s">
        <v>598</v>
      </c>
      <c r="D257" s="25" t="s">
        <v>76</v>
      </c>
      <c r="E257" s="13">
        <v>34</v>
      </c>
      <c r="F257" s="31">
        <v>1</v>
      </c>
      <c r="G257" s="31">
        <v>1</v>
      </c>
      <c r="H257" s="6">
        <f t="shared" si="210"/>
        <v>1</v>
      </c>
      <c r="I257" s="4">
        <f t="shared" si="211"/>
        <v>10013</v>
      </c>
      <c r="J257" s="13">
        <f>ROUND(VLOOKUP(D257,[1]物品容器!$T$3:$U$8,2,FALSE)*M257,0)</f>
        <v>10013</v>
      </c>
      <c r="K257" s="18">
        <f t="shared" si="212"/>
        <v>10013</v>
      </c>
      <c r="L257" s="18">
        <f t="shared" ref="L257:O257" si="278">ROUND($I257*L$2,0)</f>
        <v>6008</v>
      </c>
      <c r="M257" s="19">
        <v>1.00128</v>
      </c>
      <c r="N257" s="18">
        <f t="shared" si="278"/>
        <v>1502</v>
      </c>
      <c r="O257" s="18">
        <f t="shared" si="278"/>
        <v>150195</v>
      </c>
      <c r="P257" s="18">
        <f t="shared" si="214"/>
        <v>90.12</v>
      </c>
      <c r="Q257" s="18">
        <f t="shared" si="215"/>
        <v>499</v>
      </c>
      <c r="R257" s="16" t="s">
        <v>665</v>
      </c>
      <c r="S257" s="4">
        <f t="shared" si="216"/>
        <v>160070011</v>
      </c>
      <c r="W257" s="4"/>
      <c r="X257" s="4"/>
      <c r="AD257" s="4" t="s">
        <v>391</v>
      </c>
      <c r="AE257" s="4">
        <v>160040043</v>
      </c>
    </row>
    <row r="258" s="2" customFormat="1" spans="1:31">
      <c r="A258" s="4">
        <v>256</v>
      </c>
      <c r="B258" s="5" t="s">
        <v>666</v>
      </c>
      <c r="C258" s="13" t="s">
        <v>598</v>
      </c>
      <c r="D258" s="26" t="s">
        <v>94</v>
      </c>
      <c r="E258" s="13">
        <v>35</v>
      </c>
      <c r="F258" s="31">
        <v>1</v>
      </c>
      <c r="G258" s="23">
        <v>1</v>
      </c>
      <c r="H258" s="6">
        <f t="shared" si="210"/>
        <v>1</v>
      </c>
      <c r="I258" s="4">
        <f t="shared" si="211"/>
        <v>3015</v>
      </c>
      <c r="J258" s="13">
        <f>ROUND(VLOOKUP(D258,[1]物品容器!$T$3:$U$8,2,FALSE)*M258,0)</f>
        <v>3015</v>
      </c>
      <c r="K258" s="18">
        <f t="shared" si="212"/>
        <v>3015</v>
      </c>
      <c r="L258" s="18">
        <f t="shared" ref="L258:O258" si="279">ROUND($I258*L$2,0)</f>
        <v>1809</v>
      </c>
      <c r="M258" s="19">
        <v>1.00497</v>
      </c>
      <c r="N258" s="18">
        <f t="shared" si="279"/>
        <v>452</v>
      </c>
      <c r="O258" s="18">
        <f t="shared" si="279"/>
        <v>45225</v>
      </c>
      <c r="P258" s="18">
        <f t="shared" si="214"/>
        <v>27.135</v>
      </c>
      <c r="Q258" s="18">
        <f t="shared" si="215"/>
        <v>150</v>
      </c>
      <c r="R258" s="16" t="s">
        <v>667</v>
      </c>
      <c r="S258" s="4">
        <f t="shared" si="216"/>
        <v>160070005</v>
      </c>
      <c r="W258" s="4"/>
      <c r="X258" s="4"/>
      <c r="AD258" s="4" t="s">
        <v>400</v>
      </c>
      <c r="AE258" s="4">
        <v>160040044</v>
      </c>
    </row>
    <row r="259" s="2" customFormat="1" spans="1:31">
      <c r="A259" s="4">
        <v>257</v>
      </c>
      <c r="B259" s="5" t="s">
        <v>668</v>
      </c>
      <c r="C259" s="13" t="s">
        <v>598</v>
      </c>
      <c r="D259" s="26" t="s">
        <v>94</v>
      </c>
      <c r="E259" s="13">
        <v>36</v>
      </c>
      <c r="F259" s="31">
        <v>2</v>
      </c>
      <c r="G259" s="31">
        <v>1</v>
      </c>
      <c r="H259" s="6">
        <f t="shared" ref="H259:H322" si="280">VLOOKUP(F259*G259,$T$3:$U$11,2,FALSE)</f>
        <v>0.97</v>
      </c>
      <c r="I259" s="4">
        <f t="shared" ref="I259:I322" si="281">ROUND(F259*G259*J259*H259,0)</f>
        <v>5847</v>
      </c>
      <c r="J259" s="13">
        <f>ROUND(VLOOKUP(D259,[1]物品容器!$T$3:$U$8,2,FALSE)*M259,0)</f>
        <v>3014</v>
      </c>
      <c r="K259" s="18">
        <f t="shared" ref="K259:K322" si="282">ROUND(J259*H259,0)</f>
        <v>2924</v>
      </c>
      <c r="L259" s="18">
        <f t="shared" ref="L259:O259" si="283">ROUND($I259*L$2,0)</f>
        <v>3508</v>
      </c>
      <c r="M259" s="19">
        <v>1.00474</v>
      </c>
      <c r="N259" s="18">
        <f t="shared" si="283"/>
        <v>877</v>
      </c>
      <c r="O259" s="18">
        <f t="shared" si="283"/>
        <v>87705</v>
      </c>
      <c r="P259" s="18">
        <f t="shared" ref="P259:P322" si="284">L259*1.5%</f>
        <v>52.62</v>
      </c>
      <c r="Q259" s="18">
        <f t="shared" ref="Q259:Q322" si="285">ROUND((O259-N259)*$Q$2,0)</f>
        <v>291</v>
      </c>
      <c r="R259" s="16" t="s">
        <v>669</v>
      </c>
      <c r="S259" s="4">
        <f t="shared" ref="S259:S322" si="286">VLOOKUP(B259,$AD:$AE,2,FALSE)</f>
        <v>160070006</v>
      </c>
      <c r="W259" s="4"/>
      <c r="X259" s="4"/>
      <c r="AD259" s="4" t="s">
        <v>403</v>
      </c>
      <c r="AE259" s="4">
        <v>160040045</v>
      </c>
    </row>
    <row r="260" s="2" customFormat="1" spans="1:31">
      <c r="A260" s="4">
        <v>258</v>
      </c>
      <c r="B260" s="5" t="s">
        <v>670</v>
      </c>
      <c r="C260" s="13" t="s">
        <v>598</v>
      </c>
      <c r="D260" s="26" t="s">
        <v>94</v>
      </c>
      <c r="E260" s="13">
        <v>37</v>
      </c>
      <c r="F260" s="31">
        <v>2</v>
      </c>
      <c r="G260" s="31">
        <v>1</v>
      </c>
      <c r="H260" s="6">
        <f t="shared" si="280"/>
        <v>0.97</v>
      </c>
      <c r="I260" s="4">
        <f t="shared" si="281"/>
        <v>5834</v>
      </c>
      <c r="J260" s="13">
        <f>ROUND(VLOOKUP(D260,[1]物品容器!$T$3:$U$8,2,FALSE)*M260,0)</f>
        <v>3007</v>
      </c>
      <c r="K260" s="18">
        <f t="shared" si="282"/>
        <v>2917</v>
      </c>
      <c r="L260" s="18">
        <f t="shared" ref="L260:O260" si="287">ROUND($I260*L$2,0)</f>
        <v>3500</v>
      </c>
      <c r="M260" s="19">
        <v>1.00246</v>
      </c>
      <c r="N260" s="18">
        <f t="shared" si="287"/>
        <v>875</v>
      </c>
      <c r="O260" s="18">
        <f t="shared" si="287"/>
        <v>87510</v>
      </c>
      <c r="P260" s="18">
        <f t="shared" si="284"/>
        <v>52.5</v>
      </c>
      <c r="Q260" s="18">
        <f t="shared" si="285"/>
        <v>291</v>
      </c>
      <c r="R260" s="16" t="s">
        <v>671</v>
      </c>
      <c r="S260" s="4">
        <f t="shared" si="286"/>
        <v>160070007</v>
      </c>
      <c r="W260" s="4"/>
      <c r="X260" s="4"/>
      <c r="AD260" s="4" t="s">
        <v>412</v>
      </c>
      <c r="AE260" s="4">
        <v>160040046</v>
      </c>
    </row>
    <row r="261" s="2" customFormat="1" spans="1:31">
      <c r="A261" s="4">
        <v>259</v>
      </c>
      <c r="B261" s="5" t="s">
        <v>672</v>
      </c>
      <c r="C261" s="13" t="s">
        <v>598</v>
      </c>
      <c r="D261" s="27" t="s">
        <v>116</v>
      </c>
      <c r="E261" s="13">
        <v>38</v>
      </c>
      <c r="F261" s="31">
        <v>2</v>
      </c>
      <c r="G261" s="31">
        <v>1</v>
      </c>
      <c r="H261" s="6">
        <f t="shared" si="280"/>
        <v>0.97</v>
      </c>
      <c r="I261" s="4">
        <f t="shared" si="281"/>
        <v>1930</v>
      </c>
      <c r="J261" s="13">
        <f>ROUND(VLOOKUP(D261,[1]物品容器!$T$3:$U$8,2,FALSE)*M261,0)</f>
        <v>995</v>
      </c>
      <c r="K261" s="18">
        <f t="shared" si="282"/>
        <v>965</v>
      </c>
      <c r="L261" s="18">
        <f t="shared" ref="L261:O261" si="288">ROUND($I261*L$2,0)</f>
        <v>1158</v>
      </c>
      <c r="M261" s="19">
        <v>0.99547</v>
      </c>
      <c r="N261" s="18">
        <f t="shared" si="288"/>
        <v>290</v>
      </c>
      <c r="O261" s="18">
        <f t="shared" si="288"/>
        <v>28950</v>
      </c>
      <c r="P261" s="18">
        <f t="shared" si="284"/>
        <v>17.37</v>
      </c>
      <c r="Q261" s="18">
        <f t="shared" si="285"/>
        <v>96</v>
      </c>
      <c r="R261" s="16" t="s">
        <v>673</v>
      </c>
      <c r="S261" s="4">
        <f t="shared" si="286"/>
        <v>160070001</v>
      </c>
      <c r="W261" s="4"/>
      <c r="X261" s="4"/>
      <c r="AD261" s="4" t="s">
        <v>409</v>
      </c>
      <c r="AE261" s="4">
        <v>160040047</v>
      </c>
    </row>
    <row r="262" s="2" customFormat="1" spans="1:31">
      <c r="A262" s="4">
        <v>260</v>
      </c>
      <c r="B262" s="5" t="s">
        <v>674</v>
      </c>
      <c r="C262" s="13" t="s">
        <v>598</v>
      </c>
      <c r="D262" s="27" t="s">
        <v>116</v>
      </c>
      <c r="E262" s="13">
        <v>39</v>
      </c>
      <c r="F262" s="31">
        <v>2</v>
      </c>
      <c r="G262" s="31">
        <v>1</v>
      </c>
      <c r="H262" s="6">
        <f t="shared" si="280"/>
        <v>0.97</v>
      </c>
      <c r="I262" s="4">
        <f t="shared" si="281"/>
        <v>1928</v>
      </c>
      <c r="J262" s="13">
        <f>ROUND(VLOOKUP(D262,[1]物品容器!$T$3:$U$8,2,FALSE)*M262,0)</f>
        <v>994</v>
      </c>
      <c r="K262" s="18">
        <f t="shared" si="282"/>
        <v>964</v>
      </c>
      <c r="L262" s="18">
        <f t="shared" ref="L262:O262" si="289">ROUND($I262*L$2,0)</f>
        <v>1157</v>
      </c>
      <c r="M262" s="19">
        <v>0.99448</v>
      </c>
      <c r="N262" s="18">
        <f t="shared" si="289"/>
        <v>289</v>
      </c>
      <c r="O262" s="18">
        <f t="shared" si="289"/>
        <v>28920</v>
      </c>
      <c r="P262" s="18">
        <f t="shared" si="284"/>
        <v>17.355</v>
      </c>
      <c r="Q262" s="18">
        <f t="shared" si="285"/>
        <v>96</v>
      </c>
      <c r="R262" s="16" t="s">
        <v>675</v>
      </c>
      <c r="S262" s="4">
        <f t="shared" si="286"/>
        <v>160070002</v>
      </c>
      <c r="W262" s="4"/>
      <c r="X262" s="4"/>
      <c r="AD262" s="4" t="s">
        <v>415</v>
      </c>
      <c r="AE262" s="4">
        <v>160040048</v>
      </c>
    </row>
    <row r="263" s="2" customFormat="1" spans="1:31">
      <c r="A263" s="4">
        <v>261</v>
      </c>
      <c r="B263" s="5" t="s">
        <v>676</v>
      </c>
      <c r="C263" s="13" t="s">
        <v>598</v>
      </c>
      <c r="D263" s="27" t="s">
        <v>116</v>
      </c>
      <c r="E263" s="13">
        <v>40</v>
      </c>
      <c r="F263" s="31">
        <v>1</v>
      </c>
      <c r="G263" s="31">
        <v>1</v>
      </c>
      <c r="H263" s="6">
        <f t="shared" si="280"/>
        <v>1</v>
      </c>
      <c r="I263" s="4">
        <f t="shared" si="281"/>
        <v>997</v>
      </c>
      <c r="J263" s="13">
        <f>ROUND(VLOOKUP(D263,[1]物品容器!$T$3:$U$8,2,FALSE)*M263,0)</f>
        <v>997</v>
      </c>
      <c r="K263" s="18">
        <f t="shared" si="282"/>
        <v>997</v>
      </c>
      <c r="L263" s="18">
        <f t="shared" ref="L263:O263" si="290">ROUND($I263*L$2,0)</f>
        <v>598</v>
      </c>
      <c r="M263" s="19">
        <v>0.99658</v>
      </c>
      <c r="N263" s="18">
        <f t="shared" si="290"/>
        <v>150</v>
      </c>
      <c r="O263" s="18">
        <f t="shared" si="290"/>
        <v>14955</v>
      </c>
      <c r="P263" s="18">
        <f t="shared" si="284"/>
        <v>8.97</v>
      </c>
      <c r="Q263" s="18">
        <f t="shared" si="285"/>
        <v>50</v>
      </c>
      <c r="R263" s="16" t="s">
        <v>677</v>
      </c>
      <c r="S263" s="4">
        <f t="shared" si="286"/>
        <v>160070003</v>
      </c>
      <c r="W263" s="4"/>
      <c r="X263" s="4"/>
      <c r="AD263" s="4" t="s">
        <v>418</v>
      </c>
      <c r="AE263" s="4">
        <v>160040049</v>
      </c>
    </row>
    <row r="264" s="2" customFormat="1" spans="1:31">
      <c r="A264" s="4">
        <v>262</v>
      </c>
      <c r="B264" s="5" t="s">
        <v>678</v>
      </c>
      <c r="C264" s="13" t="s">
        <v>598</v>
      </c>
      <c r="D264" s="27" t="s">
        <v>116</v>
      </c>
      <c r="E264" s="13">
        <v>41</v>
      </c>
      <c r="F264" s="31">
        <v>1</v>
      </c>
      <c r="G264" s="31">
        <v>1</v>
      </c>
      <c r="H264" s="6">
        <f t="shared" si="280"/>
        <v>1</v>
      </c>
      <c r="I264" s="4">
        <f t="shared" si="281"/>
        <v>1005</v>
      </c>
      <c r="J264" s="13">
        <f>ROUND(VLOOKUP(D264,[1]物品容器!$T$3:$U$8,2,FALSE)*M264,0)</f>
        <v>1005</v>
      </c>
      <c r="K264" s="18">
        <f t="shared" si="282"/>
        <v>1005</v>
      </c>
      <c r="L264" s="18">
        <f t="shared" ref="L264:O264" si="291">ROUND($I264*L$2,0)</f>
        <v>603</v>
      </c>
      <c r="M264" s="19">
        <v>1.00493</v>
      </c>
      <c r="N264" s="18">
        <f t="shared" si="291"/>
        <v>151</v>
      </c>
      <c r="O264" s="18">
        <f t="shared" si="291"/>
        <v>15075</v>
      </c>
      <c r="P264" s="18">
        <f t="shared" si="284"/>
        <v>9.045</v>
      </c>
      <c r="Q264" s="18">
        <f t="shared" si="285"/>
        <v>50</v>
      </c>
      <c r="R264" s="16" t="s">
        <v>679</v>
      </c>
      <c r="S264" s="4">
        <f t="shared" si="286"/>
        <v>160070004</v>
      </c>
      <c r="W264" s="4"/>
      <c r="X264" s="4"/>
      <c r="AD264" s="4" t="s">
        <v>422</v>
      </c>
      <c r="AE264" s="4">
        <v>160040050</v>
      </c>
    </row>
    <row r="265" s="2" customFormat="1" spans="1:31">
      <c r="A265" s="4">
        <v>263</v>
      </c>
      <c r="B265" s="31" t="s">
        <v>579</v>
      </c>
      <c r="C265" s="13" t="s">
        <v>680</v>
      </c>
      <c r="D265" s="17" t="s">
        <v>26</v>
      </c>
      <c r="E265" s="13">
        <v>1</v>
      </c>
      <c r="F265" s="31">
        <v>2</v>
      </c>
      <c r="G265" s="31">
        <v>2</v>
      </c>
      <c r="H265" s="6">
        <f t="shared" si="280"/>
        <v>0.91</v>
      </c>
      <c r="I265" s="4">
        <f t="shared" si="281"/>
        <v>1084422</v>
      </c>
      <c r="J265" s="13">
        <f>ROUND(VLOOKUP(D265,[1]物品容器!$T$3:$U$8,2,FALSE)*M265,0)</f>
        <v>297918</v>
      </c>
      <c r="K265" s="18">
        <f t="shared" si="282"/>
        <v>271105</v>
      </c>
      <c r="L265" s="18">
        <f t="shared" ref="L265:O265" si="292">ROUND($I265*L$2,0)</f>
        <v>650653</v>
      </c>
      <c r="M265" s="19">
        <v>0.99306</v>
      </c>
      <c r="N265" s="18">
        <f t="shared" si="292"/>
        <v>162663</v>
      </c>
      <c r="O265" s="18">
        <f t="shared" si="292"/>
        <v>16266330</v>
      </c>
      <c r="P265" s="18">
        <f t="shared" si="284"/>
        <v>9759.795</v>
      </c>
      <c r="Q265" s="18">
        <f t="shared" si="285"/>
        <v>54036</v>
      </c>
      <c r="R265" s="16" t="s">
        <v>681</v>
      </c>
      <c r="S265" s="4">
        <f t="shared" si="286"/>
        <v>160030030</v>
      </c>
      <c r="W265" s="4"/>
      <c r="X265" s="4"/>
      <c r="AD265" s="4" t="s">
        <v>420</v>
      </c>
      <c r="AE265" s="4">
        <v>160040051</v>
      </c>
    </row>
    <row r="266" s="2" customFormat="1" spans="1:31">
      <c r="A266" s="4">
        <v>264</v>
      </c>
      <c r="B266" s="31" t="s">
        <v>581</v>
      </c>
      <c r="C266" s="13" t="s">
        <v>680</v>
      </c>
      <c r="D266" s="17" t="s">
        <v>26</v>
      </c>
      <c r="E266" s="13">
        <v>2</v>
      </c>
      <c r="F266" s="31">
        <v>3</v>
      </c>
      <c r="G266" s="31">
        <v>3</v>
      </c>
      <c r="H266" s="6">
        <f t="shared" si="280"/>
        <v>0.8</v>
      </c>
      <c r="I266" s="4">
        <f t="shared" si="281"/>
        <v>2164925</v>
      </c>
      <c r="J266" s="13">
        <f>ROUND(VLOOKUP(D266,[1]物品容器!$T$3:$U$8,2,FALSE)*M266,0)</f>
        <v>300684</v>
      </c>
      <c r="K266" s="18">
        <f t="shared" si="282"/>
        <v>240547</v>
      </c>
      <c r="L266" s="18">
        <f t="shared" ref="L266:O266" si="293">ROUND($I266*L$2,0)</f>
        <v>1298955</v>
      </c>
      <c r="M266" s="19">
        <v>1.00228</v>
      </c>
      <c r="N266" s="18">
        <f t="shared" si="293"/>
        <v>324739</v>
      </c>
      <c r="O266" s="18">
        <f t="shared" si="293"/>
        <v>32473875</v>
      </c>
      <c r="P266" s="18">
        <f t="shared" si="284"/>
        <v>19484.325</v>
      </c>
      <c r="Q266" s="18">
        <f t="shared" si="285"/>
        <v>107876</v>
      </c>
      <c r="R266" s="16" t="s">
        <v>682</v>
      </c>
      <c r="S266" s="4">
        <f t="shared" si="286"/>
        <v>160030031</v>
      </c>
      <c r="W266" s="4"/>
      <c r="X266" s="4"/>
      <c r="AD266" s="4" t="s">
        <v>394</v>
      </c>
      <c r="AE266" s="4">
        <v>160040052</v>
      </c>
    </row>
    <row r="267" s="2" customFormat="1" spans="1:31">
      <c r="A267" s="4">
        <v>265</v>
      </c>
      <c r="B267" s="31" t="s">
        <v>583</v>
      </c>
      <c r="C267" s="13" t="s">
        <v>680</v>
      </c>
      <c r="D267" s="17" t="s">
        <v>26</v>
      </c>
      <c r="E267" s="13">
        <v>3</v>
      </c>
      <c r="F267" s="31">
        <v>3</v>
      </c>
      <c r="G267" s="31">
        <v>2</v>
      </c>
      <c r="H267" s="6">
        <f t="shared" si="280"/>
        <v>0.88</v>
      </c>
      <c r="I267" s="4">
        <f t="shared" si="281"/>
        <v>1578329</v>
      </c>
      <c r="J267" s="13">
        <f>ROUND(VLOOKUP(D267,[1]物品容器!$T$3:$U$8,2,FALSE)*M267,0)</f>
        <v>298926</v>
      </c>
      <c r="K267" s="18">
        <f t="shared" si="282"/>
        <v>263055</v>
      </c>
      <c r="L267" s="18">
        <f t="shared" ref="L267:O267" si="294">ROUND($I267*L$2,0)</f>
        <v>946997</v>
      </c>
      <c r="M267" s="19">
        <v>0.99642</v>
      </c>
      <c r="N267" s="18">
        <f t="shared" si="294"/>
        <v>236749</v>
      </c>
      <c r="O267" s="18">
        <f t="shared" si="294"/>
        <v>23674935</v>
      </c>
      <c r="P267" s="18">
        <f t="shared" si="284"/>
        <v>14204.955</v>
      </c>
      <c r="Q267" s="18">
        <f t="shared" si="285"/>
        <v>78646</v>
      </c>
      <c r="R267" s="16" t="s">
        <v>683</v>
      </c>
      <c r="S267" s="4">
        <f t="shared" si="286"/>
        <v>160030032</v>
      </c>
      <c r="W267" s="4"/>
      <c r="X267" s="4"/>
      <c r="AD267" s="4" t="s">
        <v>322</v>
      </c>
      <c r="AE267" s="4">
        <v>160040053</v>
      </c>
    </row>
    <row r="268" s="2" customFormat="1" spans="1:31">
      <c r="A268" s="4">
        <v>266</v>
      </c>
      <c r="B268" s="31" t="s">
        <v>585</v>
      </c>
      <c r="C268" s="13" t="s">
        <v>680</v>
      </c>
      <c r="D268" s="17" t="s">
        <v>26</v>
      </c>
      <c r="E268" s="13">
        <v>4</v>
      </c>
      <c r="F268" s="31">
        <v>3</v>
      </c>
      <c r="G268" s="31">
        <v>3</v>
      </c>
      <c r="H268" s="6">
        <f t="shared" si="280"/>
        <v>0.8</v>
      </c>
      <c r="I268" s="4">
        <f t="shared" si="281"/>
        <v>2175617</v>
      </c>
      <c r="J268" s="13">
        <f>ROUND(VLOOKUP(D268,[1]物品容器!$T$3:$U$8,2,FALSE)*M268,0)</f>
        <v>302169</v>
      </c>
      <c r="K268" s="18">
        <f t="shared" si="282"/>
        <v>241735</v>
      </c>
      <c r="L268" s="18">
        <f t="shared" ref="L268:O268" si="295">ROUND($I268*L$2,0)</f>
        <v>1305370</v>
      </c>
      <c r="M268" s="19">
        <v>1.00723</v>
      </c>
      <c r="N268" s="18">
        <f t="shared" si="295"/>
        <v>326343</v>
      </c>
      <c r="O268" s="18">
        <f t="shared" si="295"/>
        <v>32634255</v>
      </c>
      <c r="P268" s="18">
        <f t="shared" si="284"/>
        <v>19580.55</v>
      </c>
      <c r="Q268" s="18">
        <f t="shared" si="285"/>
        <v>108409</v>
      </c>
      <c r="R268" s="16" t="s">
        <v>684</v>
      </c>
      <c r="S268" s="4">
        <f t="shared" si="286"/>
        <v>160030033</v>
      </c>
      <c r="W268" s="4"/>
      <c r="X268" s="4"/>
      <c r="AD268" s="4" t="s">
        <v>325</v>
      </c>
      <c r="AE268" s="4">
        <v>160040054</v>
      </c>
    </row>
    <row r="269" s="2" customFormat="1" spans="1:31">
      <c r="A269" s="4">
        <v>267</v>
      </c>
      <c r="B269" s="31" t="s">
        <v>563</v>
      </c>
      <c r="C269" s="13" t="s">
        <v>680</v>
      </c>
      <c r="D269" s="17" t="s">
        <v>26</v>
      </c>
      <c r="E269" s="13">
        <v>5</v>
      </c>
      <c r="F269" s="31">
        <v>4</v>
      </c>
      <c r="G269" s="31">
        <v>3</v>
      </c>
      <c r="H269" s="6">
        <f t="shared" si="280"/>
        <v>0.7</v>
      </c>
      <c r="I269" s="4">
        <f t="shared" si="281"/>
        <v>2502209</v>
      </c>
      <c r="J269" s="13">
        <f>ROUND(VLOOKUP(D269,[1]物品容器!$T$3:$U$8,2,FALSE)*M269,0)</f>
        <v>297882</v>
      </c>
      <c r="K269" s="18">
        <f t="shared" si="282"/>
        <v>208517</v>
      </c>
      <c r="L269" s="18">
        <f t="shared" ref="L269:O269" si="296">ROUND($I269*L$2,0)</f>
        <v>1501325</v>
      </c>
      <c r="M269" s="19">
        <v>0.99294</v>
      </c>
      <c r="N269" s="18">
        <f t="shared" si="296"/>
        <v>375331</v>
      </c>
      <c r="O269" s="18">
        <f t="shared" si="296"/>
        <v>37533135</v>
      </c>
      <c r="P269" s="18">
        <f t="shared" si="284"/>
        <v>22519.875</v>
      </c>
      <c r="Q269" s="18">
        <f t="shared" si="285"/>
        <v>124682</v>
      </c>
      <c r="R269" s="39" t="s">
        <v>685</v>
      </c>
      <c r="S269" s="4">
        <f t="shared" si="286"/>
        <v>160030022</v>
      </c>
      <c r="W269" s="4"/>
      <c r="X269" s="4"/>
      <c r="AD269" s="4" t="s">
        <v>328</v>
      </c>
      <c r="AE269" s="4">
        <v>160040055</v>
      </c>
    </row>
    <row r="270" s="2" customFormat="1" spans="1:31">
      <c r="A270" s="4">
        <v>268</v>
      </c>
      <c r="B270" s="31" t="s">
        <v>587</v>
      </c>
      <c r="C270" s="13" t="s">
        <v>680</v>
      </c>
      <c r="D270" s="17" t="s">
        <v>26</v>
      </c>
      <c r="E270" s="13">
        <v>6</v>
      </c>
      <c r="F270" s="31">
        <v>3</v>
      </c>
      <c r="G270" s="31">
        <v>4</v>
      </c>
      <c r="H270" s="6">
        <f t="shared" si="280"/>
        <v>0.7</v>
      </c>
      <c r="I270" s="4">
        <f t="shared" si="281"/>
        <v>2501176</v>
      </c>
      <c r="J270" s="13">
        <f>ROUND(VLOOKUP(D270,[1]物品容器!$T$3:$U$8,2,FALSE)*M270,0)</f>
        <v>297759</v>
      </c>
      <c r="K270" s="18">
        <f t="shared" si="282"/>
        <v>208431</v>
      </c>
      <c r="L270" s="18">
        <f t="shared" ref="L270:O270" si="297">ROUND($I270*L$2,0)</f>
        <v>1500706</v>
      </c>
      <c r="M270" s="19">
        <v>0.99253</v>
      </c>
      <c r="N270" s="18">
        <f t="shared" si="297"/>
        <v>375176</v>
      </c>
      <c r="O270" s="18">
        <f t="shared" si="297"/>
        <v>37517640</v>
      </c>
      <c r="P270" s="18">
        <f t="shared" si="284"/>
        <v>22510.59</v>
      </c>
      <c r="Q270" s="18">
        <f t="shared" si="285"/>
        <v>124631</v>
      </c>
      <c r="R270" s="16" t="s">
        <v>686</v>
      </c>
      <c r="S270" s="4">
        <f t="shared" si="286"/>
        <v>160030034</v>
      </c>
      <c r="W270" s="4"/>
      <c r="X270" s="4"/>
      <c r="AD270" s="4" t="s">
        <v>331</v>
      </c>
      <c r="AE270" s="4">
        <v>160040056</v>
      </c>
    </row>
    <row r="271" s="2" customFormat="1" spans="1:31">
      <c r="A271" s="4">
        <v>269</v>
      </c>
      <c r="B271" s="31" t="s">
        <v>575</v>
      </c>
      <c r="C271" s="13" t="s">
        <v>680</v>
      </c>
      <c r="D271" s="17" t="s">
        <v>26</v>
      </c>
      <c r="E271" s="13">
        <v>7</v>
      </c>
      <c r="F271" s="23">
        <v>2</v>
      </c>
      <c r="G271" s="23">
        <v>1</v>
      </c>
      <c r="H271" s="6">
        <f t="shared" si="280"/>
        <v>0.97</v>
      </c>
      <c r="I271" s="4">
        <f t="shared" si="281"/>
        <v>579119</v>
      </c>
      <c r="J271" s="13">
        <f>ROUND(VLOOKUP(D271,[1]物品容器!$T$3:$U$8,2,FALSE)*M271,0)</f>
        <v>298515</v>
      </c>
      <c r="K271" s="18">
        <f t="shared" si="282"/>
        <v>289560</v>
      </c>
      <c r="L271" s="18">
        <f t="shared" ref="L271:O271" si="298">ROUND($I271*L$2,0)</f>
        <v>347471</v>
      </c>
      <c r="M271" s="19">
        <v>0.99505</v>
      </c>
      <c r="N271" s="18">
        <f t="shared" si="298"/>
        <v>86868</v>
      </c>
      <c r="O271" s="18">
        <f t="shared" si="298"/>
        <v>8686785</v>
      </c>
      <c r="P271" s="18">
        <f t="shared" si="284"/>
        <v>5212.065</v>
      </c>
      <c r="Q271" s="18">
        <f t="shared" si="285"/>
        <v>28857</v>
      </c>
      <c r="R271" s="2" t="s">
        <v>687</v>
      </c>
      <c r="S271" s="4">
        <f t="shared" si="286"/>
        <v>160030028</v>
      </c>
      <c r="W271" s="4"/>
      <c r="X271" s="4"/>
      <c r="AD271" s="4" t="s">
        <v>334</v>
      </c>
      <c r="AE271" s="4">
        <v>160040057</v>
      </c>
    </row>
    <row r="272" s="2" customFormat="1" spans="1:31">
      <c r="A272" s="4">
        <v>270</v>
      </c>
      <c r="B272" s="5" t="s">
        <v>567</v>
      </c>
      <c r="C272" s="4" t="s">
        <v>680</v>
      </c>
      <c r="D272" s="40" t="s">
        <v>41</v>
      </c>
      <c r="E272" s="13">
        <v>8</v>
      </c>
      <c r="F272" s="31">
        <v>2</v>
      </c>
      <c r="G272" s="31">
        <v>3</v>
      </c>
      <c r="H272" s="6">
        <f t="shared" si="280"/>
        <v>0.88</v>
      </c>
      <c r="I272" s="4">
        <f t="shared" si="281"/>
        <v>525434</v>
      </c>
      <c r="J272" s="13">
        <f>ROUND(VLOOKUP(D272,[1]物品容器!$T$3:$U$8,2,FALSE)*M272,0)</f>
        <v>99514</v>
      </c>
      <c r="K272" s="18">
        <f t="shared" si="282"/>
        <v>87572</v>
      </c>
      <c r="L272" s="18">
        <f t="shared" ref="L272:O272" si="299">ROUND($I272*L$2,0)</f>
        <v>315260</v>
      </c>
      <c r="M272" s="19">
        <v>0.99514</v>
      </c>
      <c r="N272" s="18">
        <f t="shared" si="299"/>
        <v>78815</v>
      </c>
      <c r="O272" s="18">
        <f t="shared" si="299"/>
        <v>7881510</v>
      </c>
      <c r="P272" s="18">
        <f t="shared" si="284"/>
        <v>4728.9</v>
      </c>
      <c r="Q272" s="18">
        <f t="shared" si="285"/>
        <v>26182</v>
      </c>
      <c r="R272" s="2" t="s">
        <v>688</v>
      </c>
      <c r="S272" s="4">
        <f t="shared" si="286"/>
        <v>160030024</v>
      </c>
      <c r="W272" s="4"/>
      <c r="X272" s="4"/>
      <c r="AD272" s="4" t="s">
        <v>337</v>
      </c>
      <c r="AE272" s="4">
        <v>160040058</v>
      </c>
    </row>
    <row r="273" s="2" customFormat="1" spans="1:31">
      <c r="A273" s="4">
        <v>271</v>
      </c>
      <c r="B273" s="5" t="s">
        <v>569</v>
      </c>
      <c r="C273" s="4" t="s">
        <v>680</v>
      </c>
      <c r="D273" s="40" t="s">
        <v>41</v>
      </c>
      <c r="E273" s="13">
        <v>9</v>
      </c>
      <c r="F273" s="31">
        <v>3</v>
      </c>
      <c r="G273" s="23">
        <v>3</v>
      </c>
      <c r="H273" s="6">
        <f t="shared" si="280"/>
        <v>0.8</v>
      </c>
      <c r="I273" s="4">
        <f t="shared" si="281"/>
        <v>722513</v>
      </c>
      <c r="J273" s="13">
        <f>ROUND(VLOOKUP(D273,[1]物品容器!$T$3:$U$8,2,FALSE)*M273,0)</f>
        <v>100349</v>
      </c>
      <c r="K273" s="18">
        <f t="shared" si="282"/>
        <v>80279</v>
      </c>
      <c r="L273" s="18">
        <f t="shared" ref="L273:O273" si="300">ROUND($I273*L$2,0)</f>
        <v>433508</v>
      </c>
      <c r="M273" s="19">
        <v>1.00349</v>
      </c>
      <c r="N273" s="18">
        <f t="shared" si="300"/>
        <v>108377</v>
      </c>
      <c r="O273" s="18">
        <f t="shared" si="300"/>
        <v>10837695</v>
      </c>
      <c r="P273" s="18">
        <f t="shared" si="284"/>
        <v>6502.62</v>
      </c>
      <c r="Q273" s="18">
        <f t="shared" si="285"/>
        <v>36002</v>
      </c>
      <c r="R273" s="2" t="s">
        <v>689</v>
      </c>
      <c r="S273" s="4">
        <f t="shared" si="286"/>
        <v>160030025</v>
      </c>
      <c r="W273" s="4"/>
      <c r="X273" s="4"/>
      <c r="AD273" s="4" t="s">
        <v>340</v>
      </c>
      <c r="AE273" s="4">
        <v>160040059</v>
      </c>
    </row>
    <row r="274" s="2" customFormat="1" spans="1:31">
      <c r="A274" s="4">
        <v>272</v>
      </c>
      <c r="B274" s="5" t="s">
        <v>573</v>
      </c>
      <c r="C274" s="4" t="s">
        <v>680</v>
      </c>
      <c r="D274" s="40" t="s">
        <v>41</v>
      </c>
      <c r="E274" s="13">
        <v>10</v>
      </c>
      <c r="F274" s="23">
        <v>2</v>
      </c>
      <c r="G274" s="23">
        <v>2</v>
      </c>
      <c r="H274" s="6">
        <f t="shared" si="280"/>
        <v>0.91</v>
      </c>
      <c r="I274" s="4">
        <f t="shared" si="281"/>
        <v>362282</v>
      </c>
      <c r="J274" s="13">
        <f>ROUND(VLOOKUP(D274,[1]物品容器!$T$3:$U$8,2,FALSE)*M274,0)</f>
        <v>99528</v>
      </c>
      <c r="K274" s="18">
        <f t="shared" si="282"/>
        <v>90570</v>
      </c>
      <c r="L274" s="18">
        <f t="shared" ref="L274:O274" si="301">ROUND($I274*L$2,0)</f>
        <v>217369</v>
      </c>
      <c r="M274" s="19">
        <v>0.99528</v>
      </c>
      <c r="N274" s="18">
        <f t="shared" si="301"/>
        <v>54342</v>
      </c>
      <c r="O274" s="18">
        <f t="shared" si="301"/>
        <v>5434230</v>
      </c>
      <c r="P274" s="18">
        <f t="shared" si="284"/>
        <v>3260.535</v>
      </c>
      <c r="Q274" s="18">
        <f t="shared" si="285"/>
        <v>18052</v>
      </c>
      <c r="R274" s="2" t="s">
        <v>690</v>
      </c>
      <c r="S274" s="4">
        <f t="shared" si="286"/>
        <v>160030027</v>
      </c>
      <c r="W274" s="4"/>
      <c r="X274" s="4"/>
      <c r="AD274" s="4" t="s">
        <v>343</v>
      </c>
      <c r="AE274" s="4">
        <v>160040060</v>
      </c>
    </row>
    <row r="275" s="2" customFormat="1" spans="1:31">
      <c r="A275" s="4">
        <v>273</v>
      </c>
      <c r="B275" s="5" t="s">
        <v>571</v>
      </c>
      <c r="C275" s="4" t="s">
        <v>680</v>
      </c>
      <c r="D275" s="40" t="s">
        <v>41</v>
      </c>
      <c r="E275" s="13">
        <v>11</v>
      </c>
      <c r="F275" s="31">
        <v>2</v>
      </c>
      <c r="G275" s="31">
        <v>2</v>
      </c>
      <c r="H275" s="6">
        <f t="shared" si="280"/>
        <v>0.91</v>
      </c>
      <c r="I275" s="4">
        <f t="shared" si="281"/>
        <v>360375</v>
      </c>
      <c r="J275" s="13">
        <f>ROUND(VLOOKUP(D275,[1]物品容器!$T$3:$U$8,2,FALSE)*M275,0)</f>
        <v>99004</v>
      </c>
      <c r="K275" s="18">
        <f t="shared" si="282"/>
        <v>90094</v>
      </c>
      <c r="L275" s="18">
        <f t="shared" ref="L275:O275" si="302">ROUND($I275*L$2,0)</f>
        <v>216225</v>
      </c>
      <c r="M275" s="19">
        <v>0.99004</v>
      </c>
      <c r="N275" s="18">
        <f t="shared" si="302"/>
        <v>54056</v>
      </c>
      <c r="O275" s="18">
        <f t="shared" si="302"/>
        <v>5405625</v>
      </c>
      <c r="P275" s="18">
        <f t="shared" si="284"/>
        <v>3243.375</v>
      </c>
      <c r="Q275" s="18">
        <f t="shared" si="285"/>
        <v>17957</v>
      </c>
      <c r="R275" s="2" t="s">
        <v>691</v>
      </c>
      <c r="S275" s="4">
        <f t="shared" si="286"/>
        <v>160030026</v>
      </c>
      <c r="W275" s="4"/>
      <c r="X275" s="4"/>
      <c r="AD275" s="4" t="s">
        <v>346</v>
      </c>
      <c r="AE275" s="4">
        <v>160040061</v>
      </c>
    </row>
    <row r="276" s="2" customFormat="1" spans="1:31">
      <c r="A276" s="4">
        <v>274</v>
      </c>
      <c r="B276" s="5" t="s">
        <v>553</v>
      </c>
      <c r="C276" s="4" t="s">
        <v>680</v>
      </c>
      <c r="D276" s="33" t="s">
        <v>63</v>
      </c>
      <c r="E276" s="13">
        <v>12</v>
      </c>
      <c r="F276" s="23">
        <v>2</v>
      </c>
      <c r="G276" s="23">
        <v>2</v>
      </c>
      <c r="H276" s="6">
        <f t="shared" si="280"/>
        <v>0.91</v>
      </c>
      <c r="I276" s="4">
        <f t="shared" si="281"/>
        <v>109371</v>
      </c>
      <c r="J276" s="13">
        <f>ROUND(VLOOKUP(D276,[1]物品容器!$T$3:$U$8,2,FALSE)*M276,0)</f>
        <v>30047</v>
      </c>
      <c r="K276" s="18">
        <f t="shared" si="282"/>
        <v>27343</v>
      </c>
      <c r="L276" s="18">
        <f t="shared" ref="L276:O276" si="303">ROUND($I276*L$2,0)</f>
        <v>65623</v>
      </c>
      <c r="M276" s="19">
        <v>1.00155</v>
      </c>
      <c r="N276" s="18">
        <f t="shared" si="303"/>
        <v>16406</v>
      </c>
      <c r="O276" s="18">
        <f t="shared" si="303"/>
        <v>1640565</v>
      </c>
      <c r="P276" s="18">
        <f t="shared" si="284"/>
        <v>984.345</v>
      </c>
      <c r="Q276" s="18">
        <f t="shared" si="285"/>
        <v>5450</v>
      </c>
      <c r="R276" s="2" t="s">
        <v>692</v>
      </c>
      <c r="S276" s="4">
        <f t="shared" si="286"/>
        <v>160030017</v>
      </c>
      <c r="W276" s="4"/>
      <c r="X276" s="4"/>
      <c r="AD276" s="4" t="s">
        <v>349</v>
      </c>
      <c r="AE276" s="4">
        <v>160040062</v>
      </c>
    </row>
    <row r="277" s="2" customFormat="1" spans="1:31">
      <c r="A277" s="4">
        <v>275</v>
      </c>
      <c r="B277" s="5" t="s">
        <v>559</v>
      </c>
      <c r="C277" s="4" t="s">
        <v>680</v>
      </c>
      <c r="D277" s="33" t="s">
        <v>63</v>
      </c>
      <c r="E277" s="13">
        <v>13</v>
      </c>
      <c r="F277" s="31">
        <v>1</v>
      </c>
      <c r="G277" s="31">
        <v>2</v>
      </c>
      <c r="H277" s="6">
        <f t="shared" si="280"/>
        <v>0.97</v>
      </c>
      <c r="I277" s="4">
        <f t="shared" si="281"/>
        <v>58516</v>
      </c>
      <c r="J277" s="13">
        <f>ROUND(VLOOKUP(D277,[1]物品容器!$T$3:$U$8,2,FALSE)*M277,0)</f>
        <v>30163</v>
      </c>
      <c r="K277" s="18">
        <f t="shared" si="282"/>
        <v>29258</v>
      </c>
      <c r="L277" s="18">
        <f t="shared" ref="L277:O277" si="304">ROUND($I277*L$2,0)</f>
        <v>35110</v>
      </c>
      <c r="M277" s="19">
        <v>1.00544</v>
      </c>
      <c r="N277" s="18">
        <f t="shared" si="304"/>
        <v>8777</v>
      </c>
      <c r="O277" s="18">
        <f t="shared" si="304"/>
        <v>877740</v>
      </c>
      <c r="P277" s="18">
        <f t="shared" si="284"/>
        <v>526.65</v>
      </c>
      <c r="Q277" s="18">
        <f t="shared" si="285"/>
        <v>2916</v>
      </c>
      <c r="R277" s="2" t="s">
        <v>693</v>
      </c>
      <c r="S277" s="4">
        <f t="shared" si="286"/>
        <v>160030020</v>
      </c>
      <c r="W277" s="4"/>
      <c r="X277" s="4"/>
      <c r="AD277" s="4" t="s">
        <v>352</v>
      </c>
      <c r="AE277" s="4">
        <v>160040063</v>
      </c>
    </row>
    <row r="278" s="2" customFormat="1" spans="1:31">
      <c r="A278" s="4">
        <v>276</v>
      </c>
      <c r="B278" s="5" t="s">
        <v>557</v>
      </c>
      <c r="C278" s="4" t="s">
        <v>680</v>
      </c>
      <c r="D278" s="33" t="s">
        <v>63</v>
      </c>
      <c r="E278" s="13">
        <v>14</v>
      </c>
      <c r="F278" s="23">
        <v>2</v>
      </c>
      <c r="G278" s="23">
        <v>2</v>
      </c>
      <c r="H278" s="6">
        <f t="shared" si="280"/>
        <v>0.91</v>
      </c>
      <c r="I278" s="4">
        <f t="shared" si="281"/>
        <v>110288</v>
      </c>
      <c r="J278" s="13">
        <f>ROUND(VLOOKUP(D278,[1]物品容器!$T$3:$U$8,2,FALSE)*M278,0)</f>
        <v>30299</v>
      </c>
      <c r="K278" s="18">
        <f t="shared" si="282"/>
        <v>27572</v>
      </c>
      <c r="L278" s="18">
        <f t="shared" ref="L278:O278" si="305">ROUND($I278*L$2,0)</f>
        <v>66173</v>
      </c>
      <c r="M278" s="19">
        <v>1.00998</v>
      </c>
      <c r="N278" s="18">
        <f t="shared" si="305"/>
        <v>16543</v>
      </c>
      <c r="O278" s="18">
        <f t="shared" si="305"/>
        <v>1654320</v>
      </c>
      <c r="P278" s="18">
        <f t="shared" si="284"/>
        <v>992.595</v>
      </c>
      <c r="Q278" s="18">
        <f t="shared" si="285"/>
        <v>5496</v>
      </c>
      <c r="R278" s="2" t="s">
        <v>694</v>
      </c>
      <c r="S278" s="4">
        <f t="shared" si="286"/>
        <v>160030019</v>
      </c>
      <c r="W278" s="4"/>
      <c r="X278" s="4"/>
      <c r="AD278" s="4" t="s">
        <v>355</v>
      </c>
      <c r="AE278" s="4">
        <v>160040064</v>
      </c>
    </row>
    <row r="279" s="2" customFormat="1" spans="1:31">
      <c r="A279" s="4">
        <v>277</v>
      </c>
      <c r="B279" s="5" t="s">
        <v>555</v>
      </c>
      <c r="C279" s="4" t="s">
        <v>680</v>
      </c>
      <c r="D279" s="33" t="s">
        <v>63</v>
      </c>
      <c r="E279" s="13">
        <v>15</v>
      </c>
      <c r="F279" s="31">
        <v>1</v>
      </c>
      <c r="G279" s="23">
        <v>2</v>
      </c>
      <c r="H279" s="6">
        <f t="shared" si="280"/>
        <v>0.97</v>
      </c>
      <c r="I279" s="4">
        <f t="shared" si="281"/>
        <v>58171</v>
      </c>
      <c r="J279" s="13">
        <f>ROUND(VLOOKUP(D279,[1]物品容器!$T$3:$U$8,2,FALSE)*M279,0)</f>
        <v>29985</v>
      </c>
      <c r="K279" s="18">
        <f t="shared" si="282"/>
        <v>29085</v>
      </c>
      <c r="L279" s="18">
        <f t="shared" ref="L279:O279" si="306">ROUND($I279*L$2,0)</f>
        <v>34903</v>
      </c>
      <c r="M279" s="19">
        <v>0.99949</v>
      </c>
      <c r="N279" s="18">
        <f t="shared" si="306"/>
        <v>8726</v>
      </c>
      <c r="O279" s="18">
        <f t="shared" si="306"/>
        <v>872565</v>
      </c>
      <c r="P279" s="18">
        <f t="shared" si="284"/>
        <v>523.545</v>
      </c>
      <c r="Q279" s="18">
        <f t="shared" si="285"/>
        <v>2899</v>
      </c>
      <c r="R279" s="2" t="s">
        <v>695</v>
      </c>
      <c r="S279" s="4">
        <f t="shared" si="286"/>
        <v>160030018</v>
      </c>
      <c r="W279" s="4"/>
      <c r="X279" s="4"/>
      <c r="AD279" s="4" t="s">
        <v>358</v>
      </c>
      <c r="AE279" s="4">
        <v>160040065</v>
      </c>
    </row>
    <row r="280" s="2" customFormat="1" spans="1:31">
      <c r="A280" s="4">
        <v>278</v>
      </c>
      <c r="B280" s="5" t="s">
        <v>561</v>
      </c>
      <c r="C280" s="4" t="s">
        <v>680</v>
      </c>
      <c r="D280" s="33" t="s">
        <v>63</v>
      </c>
      <c r="E280" s="13">
        <v>16</v>
      </c>
      <c r="F280" s="31">
        <v>2</v>
      </c>
      <c r="G280" s="5">
        <v>2</v>
      </c>
      <c r="H280" s="6">
        <f t="shared" si="280"/>
        <v>0.91</v>
      </c>
      <c r="I280" s="4">
        <f t="shared" si="281"/>
        <v>109014</v>
      </c>
      <c r="J280" s="13">
        <f>ROUND(VLOOKUP(D280,[1]物品容器!$T$3:$U$8,2,FALSE)*M280,0)</f>
        <v>29949</v>
      </c>
      <c r="K280" s="18">
        <f t="shared" si="282"/>
        <v>27254</v>
      </c>
      <c r="L280" s="18">
        <f t="shared" ref="L280:O280" si="307">ROUND($I280*L$2,0)</f>
        <v>65408</v>
      </c>
      <c r="M280" s="19">
        <v>0.9983</v>
      </c>
      <c r="N280" s="18">
        <f t="shared" si="307"/>
        <v>16352</v>
      </c>
      <c r="O280" s="18">
        <f t="shared" si="307"/>
        <v>1635210</v>
      </c>
      <c r="P280" s="18">
        <f t="shared" si="284"/>
        <v>981.12</v>
      </c>
      <c r="Q280" s="18">
        <f t="shared" si="285"/>
        <v>5432</v>
      </c>
      <c r="R280" s="2" t="s">
        <v>696</v>
      </c>
      <c r="S280" s="4">
        <f t="shared" si="286"/>
        <v>160030021</v>
      </c>
      <c r="W280" s="4"/>
      <c r="X280" s="4"/>
      <c r="AD280" s="4" t="s">
        <v>361</v>
      </c>
      <c r="AE280" s="4">
        <v>160040066</v>
      </c>
    </row>
    <row r="281" s="2" customFormat="1" spans="1:31">
      <c r="A281" s="4">
        <v>279</v>
      </c>
      <c r="B281" s="5" t="s">
        <v>563</v>
      </c>
      <c r="C281" s="4" t="s">
        <v>680</v>
      </c>
      <c r="D281" s="33" t="s">
        <v>63</v>
      </c>
      <c r="E281" s="13">
        <v>17</v>
      </c>
      <c r="F281" s="31">
        <v>3</v>
      </c>
      <c r="G281" s="5">
        <v>2</v>
      </c>
      <c r="H281" s="6">
        <f t="shared" si="280"/>
        <v>0.88</v>
      </c>
      <c r="I281" s="4">
        <f t="shared" si="281"/>
        <v>157011</v>
      </c>
      <c r="J281" s="13">
        <f>ROUND(VLOOKUP(D281,[1]物品容器!$T$3:$U$8,2,FALSE)*M281,0)</f>
        <v>29737</v>
      </c>
      <c r="K281" s="18">
        <f t="shared" si="282"/>
        <v>26169</v>
      </c>
      <c r="L281" s="18">
        <f t="shared" ref="L281:O281" si="308">ROUND($I281*L$2,0)</f>
        <v>94207</v>
      </c>
      <c r="M281" s="19">
        <v>0.99123</v>
      </c>
      <c r="N281" s="18">
        <f t="shared" si="308"/>
        <v>23552</v>
      </c>
      <c r="O281" s="18">
        <f t="shared" si="308"/>
        <v>2355165</v>
      </c>
      <c r="P281" s="18">
        <f t="shared" si="284"/>
        <v>1413.105</v>
      </c>
      <c r="Q281" s="18">
        <f t="shared" si="285"/>
        <v>7824</v>
      </c>
      <c r="R281" s="2" t="s">
        <v>697</v>
      </c>
      <c r="S281" s="4">
        <f t="shared" si="286"/>
        <v>160030022</v>
      </c>
      <c r="W281" s="4"/>
      <c r="X281" s="4"/>
      <c r="AD281" s="4" t="s">
        <v>364</v>
      </c>
      <c r="AE281" s="4">
        <v>160040067</v>
      </c>
    </row>
    <row r="282" s="2" customFormat="1" spans="1:31">
      <c r="A282" s="4">
        <v>280</v>
      </c>
      <c r="B282" s="5" t="s">
        <v>565</v>
      </c>
      <c r="C282" s="4" t="s">
        <v>680</v>
      </c>
      <c r="D282" s="33" t="s">
        <v>63</v>
      </c>
      <c r="E282" s="13">
        <v>18</v>
      </c>
      <c r="F282" s="31">
        <v>2</v>
      </c>
      <c r="G282" s="5">
        <v>1</v>
      </c>
      <c r="H282" s="6">
        <f t="shared" si="280"/>
        <v>0.97</v>
      </c>
      <c r="I282" s="4">
        <f t="shared" si="281"/>
        <v>57907</v>
      </c>
      <c r="J282" s="13">
        <f>ROUND(VLOOKUP(D282,[1]物品容器!$T$3:$U$8,2,FALSE)*M282,0)</f>
        <v>29849</v>
      </c>
      <c r="K282" s="18">
        <f t="shared" si="282"/>
        <v>28954</v>
      </c>
      <c r="L282" s="18">
        <f t="shared" ref="L282:O282" si="309">ROUND($I282*L$2,0)</f>
        <v>34744</v>
      </c>
      <c r="M282" s="19">
        <v>0.99498</v>
      </c>
      <c r="N282" s="18">
        <f t="shared" si="309"/>
        <v>8686</v>
      </c>
      <c r="O282" s="18">
        <f t="shared" si="309"/>
        <v>868605</v>
      </c>
      <c r="P282" s="18">
        <f t="shared" si="284"/>
        <v>521.16</v>
      </c>
      <c r="Q282" s="18">
        <f t="shared" si="285"/>
        <v>2885</v>
      </c>
      <c r="R282" s="2" t="s">
        <v>698</v>
      </c>
      <c r="S282" s="4">
        <f t="shared" si="286"/>
        <v>160030023</v>
      </c>
      <c r="W282" s="4"/>
      <c r="X282" s="4"/>
      <c r="AD282" s="4" t="s">
        <v>367</v>
      </c>
      <c r="AE282" s="4">
        <v>160040068</v>
      </c>
    </row>
    <row r="283" s="2" customFormat="1" spans="1:31">
      <c r="A283" s="4">
        <v>281</v>
      </c>
      <c r="B283" s="5" t="s">
        <v>537</v>
      </c>
      <c r="C283" s="4" t="s">
        <v>680</v>
      </c>
      <c r="D283" s="34" t="s">
        <v>76</v>
      </c>
      <c r="E283" s="13">
        <v>19</v>
      </c>
      <c r="F283" s="31">
        <v>1</v>
      </c>
      <c r="G283" s="5">
        <v>1</v>
      </c>
      <c r="H283" s="6">
        <f t="shared" si="280"/>
        <v>1</v>
      </c>
      <c r="I283" s="4">
        <f t="shared" si="281"/>
        <v>9992</v>
      </c>
      <c r="J283" s="13">
        <f>ROUND(VLOOKUP(D283,[1]物品容器!$T$3:$U$8,2,FALSE)*M283,0)</f>
        <v>9992</v>
      </c>
      <c r="K283" s="18">
        <f t="shared" si="282"/>
        <v>9992</v>
      </c>
      <c r="L283" s="18">
        <f t="shared" ref="L283:O283" si="310">ROUND($I283*L$2,0)</f>
        <v>5995</v>
      </c>
      <c r="M283" s="19">
        <v>0.99918</v>
      </c>
      <c r="N283" s="18">
        <f t="shared" si="310"/>
        <v>1499</v>
      </c>
      <c r="O283" s="18">
        <f t="shared" si="310"/>
        <v>149880</v>
      </c>
      <c r="P283" s="18">
        <f t="shared" si="284"/>
        <v>89.925</v>
      </c>
      <c r="Q283" s="18">
        <f t="shared" si="285"/>
        <v>498</v>
      </c>
      <c r="R283" s="2" t="s">
        <v>699</v>
      </c>
      <c r="S283" s="4">
        <f t="shared" si="286"/>
        <v>160030009</v>
      </c>
      <c r="W283" s="4"/>
      <c r="X283" s="4"/>
      <c r="AD283" s="4" t="s">
        <v>370</v>
      </c>
      <c r="AE283" s="4">
        <v>160040069</v>
      </c>
    </row>
    <row r="284" s="2" customFormat="1" spans="1:31">
      <c r="A284" s="4">
        <v>282</v>
      </c>
      <c r="B284" s="5" t="s">
        <v>539</v>
      </c>
      <c r="C284" s="4" t="s">
        <v>680</v>
      </c>
      <c r="D284" s="25" t="s">
        <v>76</v>
      </c>
      <c r="E284" s="13">
        <v>20</v>
      </c>
      <c r="F284" s="31">
        <v>1</v>
      </c>
      <c r="G284" s="5">
        <v>1</v>
      </c>
      <c r="H284" s="6">
        <f t="shared" si="280"/>
        <v>1</v>
      </c>
      <c r="I284" s="4">
        <f t="shared" si="281"/>
        <v>9995</v>
      </c>
      <c r="J284" s="13">
        <f>ROUND(VLOOKUP(D284,[1]物品容器!$T$3:$U$8,2,FALSE)*M284,0)</f>
        <v>9995</v>
      </c>
      <c r="K284" s="18">
        <f t="shared" si="282"/>
        <v>9995</v>
      </c>
      <c r="L284" s="18">
        <f t="shared" ref="L284:O284" si="311">ROUND($I284*L$2,0)</f>
        <v>5997</v>
      </c>
      <c r="M284" s="19">
        <v>0.99945</v>
      </c>
      <c r="N284" s="18">
        <f t="shared" si="311"/>
        <v>1499</v>
      </c>
      <c r="O284" s="18">
        <f t="shared" si="311"/>
        <v>149925</v>
      </c>
      <c r="P284" s="18">
        <f t="shared" si="284"/>
        <v>89.955</v>
      </c>
      <c r="Q284" s="18">
        <f t="shared" si="285"/>
        <v>498</v>
      </c>
      <c r="R284" s="2" t="s">
        <v>700</v>
      </c>
      <c r="S284" s="4">
        <f t="shared" si="286"/>
        <v>160030010</v>
      </c>
      <c r="W284" s="4"/>
      <c r="X284" s="4"/>
      <c r="AD284" s="4" t="s">
        <v>295</v>
      </c>
      <c r="AE284" s="4">
        <v>160040070</v>
      </c>
    </row>
    <row r="285" s="2" customFormat="1" spans="1:31">
      <c r="A285" s="4">
        <v>283</v>
      </c>
      <c r="B285" s="5" t="s">
        <v>541</v>
      </c>
      <c r="C285" s="4" t="s">
        <v>680</v>
      </c>
      <c r="D285" s="34" t="s">
        <v>76</v>
      </c>
      <c r="E285" s="13">
        <v>21</v>
      </c>
      <c r="F285" s="31">
        <v>2</v>
      </c>
      <c r="G285" s="5">
        <v>2</v>
      </c>
      <c r="H285" s="6">
        <f t="shared" si="280"/>
        <v>0.91</v>
      </c>
      <c r="I285" s="4">
        <f t="shared" si="281"/>
        <v>36742</v>
      </c>
      <c r="J285" s="13">
        <f>ROUND(VLOOKUP(D285,[1]物品容器!$T$3:$U$8,2,FALSE)*M285,0)</f>
        <v>10094</v>
      </c>
      <c r="K285" s="18">
        <f t="shared" si="282"/>
        <v>9186</v>
      </c>
      <c r="L285" s="18">
        <f t="shared" ref="L285:O285" si="312">ROUND($I285*L$2,0)</f>
        <v>22045</v>
      </c>
      <c r="M285" s="19">
        <v>1.00936</v>
      </c>
      <c r="N285" s="18">
        <f t="shared" si="312"/>
        <v>5511</v>
      </c>
      <c r="O285" s="18">
        <f t="shared" si="312"/>
        <v>551130</v>
      </c>
      <c r="P285" s="18">
        <f t="shared" si="284"/>
        <v>330.675</v>
      </c>
      <c r="Q285" s="18">
        <f t="shared" si="285"/>
        <v>1831</v>
      </c>
      <c r="R285" s="2" t="s">
        <v>701</v>
      </c>
      <c r="S285" s="4">
        <f t="shared" si="286"/>
        <v>160030011</v>
      </c>
      <c r="W285" s="4"/>
      <c r="X285" s="4"/>
      <c r="AD285" s="4" t="s">
        <v>298</v>
      </c>
      <c r="AE285" s="4">
        <v>160040071</v>
      </c>
    </row>
    <row r="286" s="2" customFormat="1" spans="1:31">
      <c r="A286" s="4">
        <v>284</v>
      </c>
      <c r="B286" s="5" t="s">
        <v>543</v>
      </c>
      <c r="C286" s="4" t="s">
        <v>680</v>
      </c>
      <c r="D286" s="25" t="s">
        <v>76</v>
      </c>
      <c r="E286" s="13">
        <v>22</v>
      </c>
      <c r="F286" s="31">
        <v>1</v>
      </c>
      <c r="G286" s="5">
        <v>1</v>
      </c>
      <c r="H286" s="6">
        <f t="shared" si="280"/>
        <v>1</v>
      </c>
      <c r="I286" s="4">
        <f t="shared" si="281"/>
        <v>9950</v>
      </c>
      <c r="J286" s="13">
        <f>ROUND(VLOOKUP(D286,[1]物品容器!$T$3:$U$8,2,FALSE)*M286,0)</f>
        <v>9950</v>
      </c>
      <c r="K286" s="18">
        <f t="shared" si="282"/>
        <v>9950</v>
      </c>
      <c r="L286" s="18">
        <f t="shared" ref="L286:O286" si="313">ROUND($I286*L$2,0)</f>
        <v>5970</v>
      </c>
      <c r="M286" s="19">
        <v>0.99501</v>
      </c>
      <c r="N286" s="18">
        <f t="shared" si="313"/>
        <v>1493</v>
      </c>
      <c r="O286" s="18">
        <f t="shared" si="313"/>
        <v>149250</v>
      </c>
      <c r="P286" s="18">
        <f t="shared" si="284"/>
        <v>89.55</v>
      </c>
      <c r="Q286" s="18">
        <f t="shared" si="285"/>
        <v>496</v>
      </c>
      <c r="R286" s="2" t="s">
        <v>702</v>
      </c>
      <c r="S286" s="4">
        <f t="shared" si="286"/>
        <v>160030012</v>
      </c>
      <c r="W286" s="4"/>
      <c r="X286" s="4"/>
      <c r="AD286" s="4" t="s">
        <v>301</v>
      </c>
      <c r="AE286" s="4">
        <v>160040072</v>
      </c>
    </row>
    <row r="287" s="2" customFormat="1" spans="1:31">
      <c r="A287" s="4">
        <v>285</v>
      </c>
      <c r="B287" s="5" t="s">
        <v>545</v>
      </c>
      <c r="C287" s="4" t="s">
        <v>680</v>
      </c>
      <c r="D287" s="34" t="s">
        <v>76</v>
      </c>
      <c r="E287" s="13">
        <v>23</v>
      </c>
      <c r="F287" s="31">
        <v>2</v>
      </c>
      <c r="G287" s="5">
        <v>2</v>
      </c>
      <c r="H287" s="6">
        <f t="shared" si="280"/>
        <v>0.91</v>
      </c>
      <c r="I287" s="4">
        <f t="shared" si="281"/>
        <v>36258</v>
      </c>
      <c r="J287" s="13">
        <f>ROUND(VLOOKUP(D287,[1]物品容器!$T$3:$U$8,2,FALSE)*M287,0)</f>
        <v>9961</v>
      </c>
      <c r="K287" s="18">
        <f t="shared" si="282"/>
        <v>9065</v>
      </c>
      <c r="L287" s="18">
        <f t="shared" ref="L287:O287" si="314">ROUND($I287*L$2,0)</f>
        <v>21755</v>
      </c>
      <c r="M287" s="19">
        <v>0.99611</v>
      </c>
      <c r="N287" s="18">
        <f t="shared" si="314"/>
        <v>5439</v>
      </c>
      <c r="O287" s="18">
        <f t="shared" si="314"/>
        <v>543870</v>
      </c>
      <c r="P287" s="18">
        <f t="shared" si="284"/>
        <v>326.325</v>
      </c>
      <c r="Q287" s="18">
        <f t="shared" si="285"/>
        <v>1807</v>
      </c>
      <c r="R287" s="2" t="s">
        <v>703</v>
      </c>
      <c r="S287" s="4">
        <f t="shared" si="286"/>
        <v>160030013</v>
      </c>
      <c r="W287" s="4"/>
      <c r="X287" s="4"/>
      <c r="AD287" s="4" t="s">
        <v>304</v>
      </c>
      <c r="AE287" s="4">
        <v>160040073</v>
      </c>
    </row>
    <row r="288" s="2" customFormat="1" spans="1:31">
      <c r="A288" s="4">
        <v>286</v>
      </c>
      <c r="B288" s="5" t="s">
        <v>547</v>
      </c>
      <c r="C288" s="13" t="s">
        <v>680</v>
      </c>
      <c r="D288" s="25" t="s">
        <v>76</v>
      </c>
      <c r="E288" s="13">
        <v>24</v>
      </c>
      <c r="F288" s="31">
        <v>4</v>
      </c>
      <c r="G288" s="5">
        <v>2</v>
      </c>
      <c r="H288" s="6">
        <f t="shared" si="280"/>
        <v>0.84</v>
      </c>
      <c r="I288" s="4">
        <f t="shared" si="281"/>
        <v>66770</v>
      </c>
      <c r="J288" s="13">
        <f>ROUND(VLOOKUP(D288,[1]物品容器!$T$3:$U$8,2,FALSE)*M288,0)</f>
        <v>9936</v>
      </c>
      <c r="K288" s="18">
        <f t="shared" si="282"/>
        <v>8346</v>
      </c>
      <c r="L288" s="18">
        <f t="shared" ref="L288:O288" si="315">ROUND($I288*L$2,0)</f>
        <v>40062</v>
      </c>
      <c r="M288" s="19">
        <v>0.99355</v>
      </c>
      <c r="N288" s="18">
        <f t="shared" si="315"/>
        <v>10016</v>
      </c>
      <c r="O288" s="18">
        <f t="shared" si="315"/>
        <v>1001550</v>
      </c>
      <c r="P288" s="18">
        <f t="shared" si="284"/>
        <v>600.93</v>
      </c>
      <c r="Q288" s="18">
        <f t="shared" si="285"/>
        <v>3327</v>
      </c>
      <c r="R288" s="2" t="s">
        <v>704</v>
      </c>
      <c r="S288" s="4">
        <f t="shared" si="286"/>
        <v>160030014</v>
      </c>
      <c r="W288" s="4"/>
      <c r="X288" s="4"/>
      <c r="AD288" s="4" t="s">
        <v>307</v>
      </c>
      <c r="AE288" s="4">
        <v>160040074</v>
      </c>
    </row>
    <row r="289" s="2" customFormat="1" spans="1:31">
      <c r="A289" s="4">
        <v>287</v>
      </c>
      <c r="B289" s="5" t="s">
        <v>549</v>
      </c>
      <c r="C289" s="13" t="s">
        <v>680</v>
      </c>
      <c r="D289" s="25" t="s">
        <v>76</v>
      </c>
      <c r="E289" s="13">
        <v>25</v>
      </c>
      <c r="F289" s="31">
        <v>1</v>
      </c>
      <c r="G289" s="5">
        <v>1</v>
      </c>
      <c r="H289" s="6">
        <f t="shared" si="280"/>
        <v>1</v>
      </c>
      <c r="I289" s="4">
        <f t="shared" si="281"/>
        <v>9908</v>
      </c>
      <c r="J289" s="13">
        <f>ROUND(VLOOKUP(D289,[1]物品容器!$T$3:$U$8,2,FALSE)*M289,0)</f>
        <v>9908</v>
      </c>
      <c r="K289" s="18">
        <f t="shared" si="282"/>
        <v>9908</v>
      </c>
      <c r="L289" s="18">
        <f t="shared" ref="L289:O289" si="316">ROUND($I289*L$2,0)</f>
        <v>5945</v>
      </c>
      <c r="M289" s="19">
        <v>0.9908</v>
      </c>
      <c r="N289" s="18">
        <f t="shared" si="316"/>
        <v>1486</v>
      </c>
      <c r="O289" s="18">
        <f t="shared" si="316"/>
        <v>148620</v>
      </c>
      <c r="P289" s="18">
        <f t="shared" si="284"/>
        <v>89.175</v>
      </c>
      <c r="Q289" s="18">
        <f t="shared" si="285"/>
        <v>494</v>
      </c>
      <c r="R289" s="2" t="s">
        <v>705</v>
      </c>
      <c r="S289" s="4">
        <f t="shared" si="286"/>
        <v>160030015</v>
      </c>
      <c r="W289" s="4"/>
      <c r="X289" s="4"/>
      <c r="AD289" s="4" t="s">
        <v>310</v>
      </c>
      <c r="AE289" s="4">
        <v>160040075</v>
      </c>
    </row>
    <row r="290" s="2" customFormat="1" spans="1:31">
      <c r="A290" s="4">
        <v>288</v>
      </c>
      <c r="B290" s="5" t="s">
        <v>551</v>
      </c>
      <c r="C290" s="13" t="s">
        <v>680</v>
      </c>
      <c r="D290" s="25" t="s">
        <v>76</v>
      </c>
      <c r="E290" s="13">
        <v>26</v>
      </c>
      <c r="F290" s="31">
        <v>1</v>
      </c>
      <c r="G290" s="5">
        <v>1</v>
      </c>
      <c r="H290" s="6">
        <f t="shared" si="280"/>
        <v>1</v>
      </c>
      <c r="I290" s="4">
        <f t="shared" si="281"/>
        <v>9915</v>
      </c>
      <c r="J290" s="13">
        <f>ROUND(VLOOKUP(D290,[1]物品容器!$T$3:$U$8,2,FALSE)*M290,0)</f>
        <v>9915</v>
      </c>
      <c r="K290" s="18">
        <f t="shared" si="282"/>
        <v>9915</v>
      </c>
      <c r="L290" s="18">
        <f t="shared" ref="L290:O290" si="317">ROUND($I290*L$2,0)</f>
        <v>5949</v>
      </c>
      <c r="M290" s="19">
        <v>0.99151</v>
      </c>
      <c r="N290" s="18">
        <f t="shared" si="317"/>
        <v>1487</v>
      </c>
      <c r="O290" s="18">
        <f t="shared" si="317"/>
        <v>148725</v>
      </c>
      <c r="P290" s="18">
        <f t="shared" si="284"/>
        <v>89.235</v>
      </c>
      <c r="Q290" s="18">
        <f t="shared" si="285"/>
        <v>494</v>
      </c>
      <c r="R290" s="2" t="s">
        <v>706</v>
      </c>
      <c r="S290" s="4">
        <f t="shared" si="286"/>
        <v>160030016</v>
      </c>
      <c r="W290" s="4"/>
      <c r="X290" s="4"/>
      <c r="AD290" s="4" t="s">
        <v>313</v>
      </c>
      <c r="AE290" s="4">
        <v>160040076</v>
      </c>
    </row>
    <row r="291" s="2" customFormat="1" spans="1:31">
      <c r="A291" s="4">
        <v>289</v>
      </c>
      <c r="B291" s="5" t="s">
        <v>531</v>
      </c>
      <c r="C291" s="13" t="s">
        <v>680</v>
      </c>
      <c r="D291" s="25" t="s">
        <v>76</v>
      </c>
      <c r="E291" s="13">
        <v>27</v>
      </c>
      <c r="F291" s="23">
        <v>1</v>
      </c>
      <c r="G291" s="23">
        <v>1</v>
      </c>
      <c r="H291" s="6">
        <f t="shared" si="280"/>
        <v>1</v>
      </c>
      <c r="I291" s="4">
        <f t="shared" si="281"/>
        <v>10063</v>
      </c>
      <c r="J291" s="13">
        <f>ROUND(VLOOKUP(D291,[1]物品容器!$T$3:$U$8,2,FALSE)*M291,0)</f>
        <v>10063</v>
      </c>
      <c r="K291" s="18">
        <f t="shared" si="282"/>
        <v>10063</v>
      </c>
      <c r="L291" s="18">
        <f t="shared" ref="L291:O291" si="318">ROUND($I291*L$2,0)</f>
        <v>6038</v>
      </c>
      <c r="M291" s="19">
        <v>1.00626</v>
      </c>
      <c r="N291" s="18">
        <f t="shared" si="318"/>
        <v>1509</v>
      </c>
      <c r="O291" s="18">
        <f t="shared" si="318"/>
        <v>150945</v>
      </c>
      <c r="P291" s="18">
        <f t="shared" si="284"/>
        <v>90.57</v>
      </c>
      <c r="Q291" s="18">
        <f t="shared" si="285"/>
        <v>501</v>
      </c>
      <c r="R291" s="2" t="s">
        <v>707</v>
      </c>
      <c r="S291" s="4">
        <f t="shared" si="286"/>
        <v>160030006</v>
      </c>
      <c r="W291" s="4"/>
      <c r="X291" s="4"/>
      <c r="AD291" s="4" t="s">
        <v>316</v>
      </c>
      <c r="AE291" s="4">
        <v>160040077</v>
      </c>
    </row>
    <row r="292" s="2" customFormat="1" spans="1:31">
      <c r="A292" s="4">
        <v>290</v>
      </c>
      <c r="B292" s="5" t="s">
        <v>521</v>
      </c>
      <c r="C292" s="13" t="s">
        <v>680</v>
      </c>
      <c r="D292" s="26" t="s">
        <v>94</v>
      </c>
      <c r="E292" s="13">
        <v>28</v>
      </c>
      <c r="F292" s="31">
        <v>1</v>
      </c>
      <c r="G292" s="31">
        <v>1</v>
      </c>
      <c r="H292" s="6">
        <f t="shared" si="280"/>
        <v>1</v>
      </c>
      <c r="I292" s="4">
        <f t="shared" si="281"/>
        <v>3021</v>
      </c>
      <c r="J292" s="13">
        <f>ROUND(VLOOKUP(D292,[1]物品容器!$T$3:$U$8,2,FALSE)*M292,0)</f>
        <v>3021</v>
      </c>
      <c r="K292" s="18">
        <f t="shared" si="282"/>
        <v>3021</v>
      </c>
      <c r="L292" s="18">
        <f t="shared" ref="L292:O292" si="319">ROUND($I292*L$2,0)</f>
        <v>1813</v>
      </c>
      <c r="M292" s="19">
        <v>1.00713</v>
      </c>
      <c r="N292" s="18">
        <f t="shared" si="319"/>
        <v>453</v>
      </c>
      <c r="O292" s="18">
        <f t="shared" si="319"/>
        <v>45315</v>
      </c>
      <c r="P292" s="18">
        <f t="shared" si="284"/>
        <v>27.195</v>
      </c>
      <c r="Q292" s="18">
        <f t="shared" si="285"/>
        <v>151</v>
      </c>
      <c r="R292" s="2" t="s">
        <v>708</v>
      </c>
      <c r="S292" s="4">
        <f t="shared" si="286"/>
        <v>160030001</v>
      </c>
      <c r="W292" s="4"/>
      <c r="X292" s="4"/>
      <c r="AD292" s="4" t="s">
        <v>319</v>
      </c>
      <c r="AE292" s="4">
        <v>160040078</v>
      </c>
    </row>
    <row r="293" s="2" customFormat="1" spans="1:31">
      <c r="A293" s="4">
        <v>291</v>
      </c>
      <c r="B293" s="31" t="s">
        <v>523</v>
      </c>
      <c r="C293" s="13" t="s">
        <v>680</v>
      </c>
      <c r="D293" s="26" t="s">
        <v>94</v>
      </c>
      <c r="E293" s="13">
        <v>29</v>
      </c>
      <c r="F293" s="31">
        <v>1</v>
      </c>
      <c r="G293" s="31">
        <v>1</v>
      </c>
      <c r="H293" s="6">
        <f t="shared" si="280"/>
        <v>1</v>
      </c>
      <c r="I293" s="4">
        <f t="shared" si="281"/>
        <v>2983</v>
      </c>
      <c r="J293" s="13">
        <f>ROUND(VLOOKUP(D293,[1]物品容器!$T$3:$U$8,2,FALSE)*M293,0)</f>
        <v>2983</v>
      </c>
      <c r="K293" s="18">
        <f t="shared" si="282"/>
        <v>2983</v>
      </c>
      <c r="L293" s="18">
        <f t="shared" ref="L293:O293" si="320">ROUND($I293*L$2,0)</f>
        <v>1790</v>
      </c>
      <c r="M293" s="19">
        <v>0.99431</v>
      </c>
      <c r="N293" s="18">
        <f t="shared" si="320"/>
        <v>447</v>
      </c>
      <c r="O293" s="18">
        <f t="shared" si="320"/>
        <v>44745</v>
      </c>
      <c r="P293" s="18">
        <f t="shared" si="284"/>
        <v>26.85</v>
      </c>
      <c r="Q293" s="18">
        <f t="shared" si="285"/>
        <v>149</v>
      </c>
      <c r="R293" s="2" t="s">
        <v>709</v>
      </c>
      <c r="S293" s="4">
        <f t="shared" si="286"/>
        <v>160030002</v>
      </c>
      <c r="W293" s="4"/>
      <c r="X293" s="4"/>
      <c r="AD293" s="4" t="s">
        <v>282</v>
      </c>
      <c r="AE293" s="4">
        <v>160040079</v>
      </c>
    </row>
    <row r="294" s="2" customFormat="1" spans="1:31">
      <c r="A294" s="4">
        <v>292</v>
      </c>
      <c r="B294" s="31" t="s">
        <v>525</v>
      </c>
      <c r="C294" s="13" t="s">
        <v>680</v>
      </c>
      <c r="D294" s="26" t="s">
        <v>94</v>
      </c>
      <c r="E294" s="13">
        <v>30</v>
      </c>
      <c r="F294" s="31">
        <v>1</v>
      </c>
      <c r="G294" s="31">
        <v>1</v>
      </c>
      <c r="H294" s="6">
        <f t="shared" si="280"/>
        <v>1</v>
      </c>
      <c r="I294" s="4">
        <f t="shared" si="281"/>
        <v>3019</v>
      </c>
      <c r="J294" s="13">
        <f>ROUND(VLOOKUP(D294,[1]物品容器!$T$3:$U$8,2,FALSE)*M294,0)</f>
        <v>3019</v>
      </c>
      <c r="K294" s="18">
        <f t="shared" si="282"/>
        <v>3019</v>
      </c>
      <c r="L294" s="18">
        <f t="shared" ref="L294:O294" si="321">ROUND($I294*L$2,0)</f>
        <v>1811</v>
      </c>
      <c r="M294" s="19">
        <v>1.0064</v>
      </c>
      <c r="N294" s="18">
        <f t="shared" si="321"/>
        <v>453</v>
      </c>
      <c r="O294" s="18">
        <f t="shared" si="321"/>
        <v>45285</v>
      </c>
      <c r="P294" s="18">
        <f t="shared" si="284"/>
        <v>27.165</v>
      </c>
      <c r="Q294" s="18">
        <f t="shared" si="285"/>
        <v>150</v>
      </c>
      <c r="R294" s="2" t="s">
        <v>710</v>
      </c>
      <c r="S294" s="4">
        <f t="shared" si="286"/>
        <v>160030003</v>
      </c>
      <c r="W294" s="4"/>
      <c r="X294" s="4"/>
      <c r="AD294" s="4" t="s">
        <v>286</v>
      </c>
      <c r="AE294" s="4">
        <v>160040080</v>
      </c>
    </row>
    <row r="295" s="2" customFormat="1" spans="1:31">
      <c r="A295" s="4">
        <v>293</v>
      </c>
      <c r="B295" s="5" t="s">
        <v>527</v>
      </c>
      <c r="C295" s="13" t="s">
        <v>680</v>
      </c>
      <c r="D295" s="26" t="s">
        <v>94</v>
      </c>
      <c r="E295" s="13">
        <v>31</v>
      </c>
      <c r="F295" s="31">
        <v>1</v>
      </c>
      <c r="G295" s="31">
        <v>1</v>
      </c>
      <c r="H295" s="6">
        <f t="shared" si="280"/>
        <v>1</v>
      </c>
      <c r="I295" s="4">
        <f t="shared" si="281"/>
        <v>2972</v>
      </c>
      <c r="J295" s="13">
        <f>ROUND(VLOOKUP(D295,[1]物品容器!$T$3:$U$8,2,FALSE)*M295,0)</f>
        <v>2972</v>
      </c>
      <c r="K295" s="18">
        <f t="shared" si="282"/>
        <v>2972</v>
      </c>
      <c r="L295" s="18">
        <f t="shared" ref="L295:O295" si="322">ROUND($I295*L$2,0)</f>
        <v>1783</v>
      </c>
      <c r="M295" s="19">
        <v>0.99082</v>
      </c>
      <c r="N295" s="18">
        <f t="shared" si="322"/>
        <v>446</v>
      </c>
      <c r="O295" s="18">
        <f t="shared" si="322"/>
        <v>44580</v>
      </c>
      <c r="P295" s="18">
        <f t="shared" si="284"/>
        <v>26.745</v>
      </c>
      <c r="Q295" s="18">
        <f t="shared" si="285"/>
        <v>148</v>
      </c>
      <c r="R295" s="2" t="s">
        <v>711</v>
      </c>
      <c r="S295" s="4">
        <f t="shared" si="286"/>
        <v>160030004</v>
      </c>
      <c r="W295" s="4"/>
      <c r="X295" s="4"/>
      <c r="AD295" s="4" t="s">
        <v>289</v>
      </c>
      <c r="AE295" s="4">
        <v>160040081</v>
      </c>
    </row>
    <row r="296" s="3" customFormat="1" spans="1:31">
      <c r="A296" s="4">
        <v>294</v>
      </c>
      <c r="B296" s="5" t="s">
        <v>529</v>
      </c>
      <c r="C296" s="13" t="s">
        <v>680</v>
      </c>
      <c r="D296" s="26" t="s">
        <v>94</v>
      </c>
      <c r="E296" s="13">
        <v>32</v>
      </c>
      <c r="F296" s="31">
        <v>1</v>
      </c>
      <c r="G296" s="31">
        <v>1</v>
      </c>
      <c r="H296" s="6">
        <f t="shared" si="280"/>
        <v>1</v>
      </c>
      <c r="I296" s="4">
        <f t="shared" si="281"/>
        <v>2991</v>
      </c>
      <c r="J296" s="13">
        <f>ROUND(VLOOKUP(D296,[1]物品容器!$T$3:$U$8,2,FALSE)*M296,0)</f>
        <v>2991</v>
      </c>
      <c r="K296" s="18">
        <f t="shared" si="282"/>
        <v>2991</v>
      </c>
      <c r="L296" s="18">
        <f t="shared" ref="L296:O296" si="323">ROUND($I296*L$2,0)</f>
        <v>1795</v>
      </c>
      <c r="M296" s="19">
        <v>0.99716</v>
      </c>
      <c r="N296" s="18">
        <f t="shared" si="323"/>
        <v>449</v>
      </c>
      <c r="O296" s="18">
        <f t="shared" si="323"/>
        <v>44865</v>
      </c>
      <c r="P296" s="18">
        <f t="shared" si="284"/>
        <v>26.925</v>
      </c>
      <c r="Q296" s="18">
        <f t="shared" si="285"/>
        <v>149</v>
      </c>
      <c r="R296" s="2" t="s">
        <v>712</v>
      </c>
      <c r="S296" s="4">
        <f t="shared" si="286"/>
        <v>160030005</v>
      </c>
      <c r="W296" s="5"/>
      <c r="X296" s="5"/>
      <c r="AD296" s="5" t="s">
        <v>292</v>
      </c>
      <c r="AE296" s="5">
        <v>160040082</v>
      </c>
    </row>
    <row r="297" s="2" customFormat="1" spans="1:31">
      <c r="A297" s="4">
        <v>295</v>
      </c>
      <c r="B297" s="31" t="s">
        <v>713</v>
      </c>
      <c r="C297" s="13" t="s">
        <v>714</v>
      </c>
      <c r="D297" s="17" t="s">
        <v>26</v>
      </c>
      <c r="E297" s="13">
        <v>1</v>
      </c>
      <c r="F297" s="31">
        <v>2</v>
      </c>
      <c r="G297" s="31">
        <v>2</v>
      </c>
      <c r="H297" s="6">
        <f t="shared" si="280"/>
        <v>0.91</v>
      </c>
      <c r="I297" s="4">
        <f t="shared" si="281"/>
        <v>1083581</v>
      </c>
      <c r="J297" s="13">
        <f>ROUND(VLOOKUP(D297,[1]物品容器!$T$3:$U$8,2,FALSE)*M297,0)</f>
        <v>297687</v>
      </c>
      <c r="K297" s="18">
        <f t="shared" si="282"/>
        <v>270895</v>
      </c>
      <c r="L297" s="18">
        <f t="shared" ref="L297:O297" si="324">ROUND($I297*L$2,0)</f>
        <v>650149</v>
      </c>
      <c r="M297" s="19">
        <v>0.99229</v>
      </c>
      <c r="N297" s="18">
        <f t="shared" si="324"/>
        <v>162537</v>
      </c>
      <c r="O297" s="18">
        <f t="shared" si="324"/>
        <v>16253715</v>
      </c>
      <c r="P297" s="18">
        <f t="shared" si="284"/>
        <v>9752.235</v>
      </c>
      <c r="Q297" s="18">
        <f t="shared" si="285"/>
        <v>53994</v>
      </c>
      <c r="R297" s="16" t="s">
        <v>715</v>
      </c>
      <c r="S297" s="4">
        <f t="shared" si="286"/>
        <v>160050088</v>
      </c>
      <c r="W297" s="4"/>
      <c r="X297" s="4"/>
      <c r="AD297" s="4" t="s">
        <v>716</v>
      </c>
      <c r="AE297" s="4">
        <v>160050001</v>
      </c>
    </row>
    <row r="298" s="2" customFormat="1" spans="1:31">
      <c r="A298" s="4">
        <v>296</v>
      </c>
      <c r="B298" s="31" t="s">
        <v>717</v>
      </c>
      <c r="C298" s="13" t="s">
        <v>714</v>
      </c>
      <c r="D298" s="17" t="s">
        <v>26</v>
      </c>
      <c r="E298" s="13">
        <v>2</v>
      </c>
      <c r="F298" s="31">
        <v>3</v>
      </c>
      <c r="G298" s="31">
        <v>3</v>
      </c>
      <c r="H298" s="6">
        <f t="shared" si="280"/>
        <v>0.8</v>
      </c>
      <c r="I298" s="4">
        <f t="shared" si="281"/>
        <v>2169072</v>
      </c>
      <c r="J298" s="13">
        <f>ROUND(VLOOKUP(D298,[1]物品容器!$T$3:$U$8,2,FALSE)*M298,0)</f>
        <v>301260</v>
      </c>
      <c r="K298" s="18">
        <f t="shared" si="282"/>
        <v>241008</v>
      </c>
      <c r="L298" s="18">
        <f t="shared" ref="L298:O298" si="325">ROUND($I298*L$2,0)</f>
        <v>1301443</v>
      </c>
      <c r="M298" s="19">
        <v>1.0042</v>
      </c>
      <c r="N298" s="18">
        <f t="shared" si="325"/>
        <v>325361</v>
      </c>
      <c r="O298" s="18">
        <f t="shared" si="325"/>
        <v>32536080</v>
      </c>
      <c r="P298" s="18">
        <f t="shared" si="284"/>
        <v>19521.645</v>
      </c>
      <c r="Q298" s="18">
        <f t="shared" si="285"/>
        <v>108082</v>
      </c>
      <c r="R298" s="16" t="s">
        <v>718</v>
      </c>
      <c r="S298" s="4">
        <f t="shared" si="286"/>
        <v>160050089</v>
      </c>
      <c r="W298" s="4"/>
      <c r="X298" s="4"/>
      <c r="AD298" s="4" t="s">
        <v>719</v>
      </c>
      <c r="AE298" s="4">
        <v>160050002</v>
      </c>
    </row>
    <row r="299" s="2" customFormat="1" spans="1:31">
      <c r="A299" s="4">
        <v>297</v>
      </c>
      <c r="B299" s="31" t="s">
        <v>720</v>
      </c>
      <c r="C299" s="13" t="s">
        <v>714</v>
      </c>
      <c r="D299" s="17" t="s">
        <v>26</v>
      </c>
      <c r="E299" s="13">
        <v>3</v>
      </c>
      <c r="F299" s="31">
        <v>1</v>
      </c>
      <c r="G299" s="31">
        <v>2</v>
      </c>
      <c r="H299" s="6">
        <f t="shared" si="280"/>
        <v>0.97</v>
      </c>
      <c r="I299" s="4">
        <f t="shared" si="281"/>
        <v>582023</v>
      </c>
      <c r="J299" s="13">
        <f>ROUND(VLOOKUP(D299,[1]物品容器!$T$3:$U$8,2,FALSE)*M299,0)</f>
        <v>300012</v>
      </c>
      <c r="K299" s="18">
        <f t="shared" si="282"/>
        <v>291012</v>
      </c>
      <c r="L299" s="18">
        <f t="shared" ref="L299:O299" si="326">ROUND($I299*L$2,0)</f>
        <v>349214</v>
      </c>
      <c r="M299" s="19">
        <v>1.00004</v>
      </c>
      <c r="N299" s="18">
        <f t="shared" si="326"/>
        <v>87303</v>
      </c>
      <c r="O299" s="18">
        <f t="shared" si="326"/>
        <v>8730345</v>
      </c>
      <c r="P299" s="18">
        <f t="shared" si="284"/>
        <v>5238.21</v>
      </c>
      <c r="Q299" s="18">
        <f t="shared" si="285"/>
        <v>29002</v>
      </c>
      <c r="R299" s="16" t="s">
        <v>721</v>
      </c>
      <c r="S299" s="4">
        <f t="shared" si="286"/>
        <v>160050091</v>
      </c>
      <c r="W299" s="4"/>
      <c r="X299" s="4"/>
      <c r="AD299" s="4" t="s">
        <v>722</v>
      </c>
      <c r="AE299" s="4">
        <v>160050003</v>
      </c>
    </row>
    <row r="300" s="2" customFormat="1" spans="1:31">
      <c r="A300" s="4">
        <v>298</v>
      </c>
      <c r="B300" s="31" t="s">
        <v>723</v>
      </c>
      <c r="C300" s="13" t="s">
        <v>714</v>
      </c>
      <c r="D300" s="17" t="s">
        <v>26</v>
      </c>
      <c r="E300" s="13">
        <v>4</v>
      </c>
      <c r="F300" s="31">
        <v>3</v>
      </c>
      <c r="G300" s="31">
        <v>2</v>
      </c>
      <c r="H300" s="6">
        <f t="shared" si="280"/>
        <v>0.88</v>
      </c>
      <c r="I300" s="4">
        <f t="shared" si="281"/>
        <v>1592506</v>
      </c>
      <c r="J300" s="13">
        <f>ROUND(VLOOKUP(D300,[1]物品容器!$T$3:$U$8,2,FALSE)*M300,0)</f>
        <v>301611</v>
      </c>
      <c r="K300" s="18">
        <f t="shared" si="282"/>
        <v>265418</v>
      </c>
      <c r="L300" s="18">
        <f t="shared" ref="L300:O300" si="327">ROUND($I300*L$2,0)</f>
        <v>955504</v>
      </c>
      <c r="M300" s="19">
        <v>1.00537</v>
      </c>
      <c r="N300" s="18">
        <f t="shared" si="327"/>
        <v>238876</v>
      </c>
      <c r="O300" s="18">
        <f t="shared" si="327"/>
        <v>23887590</v>
      </c>
      <c r="P300" s="18">
        <f t="shared" si="284"/>
        <v>14332.56</v>
      </c>
      <c r="Q300" s="18">
        <f t="shared" si="285"/>
        <v>79353</v>
      </c>
      <c r="R300" s="16" t="s">
        <v>724</v>
      </c>
      <c r="S300" s="4">
        <f t="shared" si="286"/>
        <v>160050092</v>
      </c>
      <c r="W300" s="4"/>
      <c r="X300" s="4"/>
      <c r="AD300" s="4" t="s">
        <v>725</v>
      </c>
      <c r="AE300" s="4">
        <v>160050004</v>
      </c>
    </row>
    <row r="301" s="2" customFormat="1" spans="1:31">
      <c r="A301" s="4">
        <v>299</v>
      </c>
      <c r="B301" s="31" t="s">
        <v>726</v>
      </c>
      <c r="C301" s="13" t="s">
        <v>714</v>
      </c>
      <c r="D301" s="17" t="s">
        <v>26</v>
      </c>
      <c r="E301" s="13">
        <v>5</v>
      </c>
      <c r="F301" s="23">
        <v>2</v>
      </c>
      <c r="G301" s="23">
        <v>3</v>
      </c>
      <c r="H301" s="6">
        <f t="shared" si="280"/>
        <v>0.88</v>
      </c>
      <c r="I301" s="4">
        <f t="shared" si="281"/>
        <v>1570679</v>
      </c>
      <c r="J301" s="13">
        <f>ROUND(VLOOKUP(D301,[1]物品容器!$T$3:$U$8,2,FALSE)*M301,0)</f>
        <v>297477</v>
      </c>
      <c r="K301" s="18">
        <f t="shared" si="282"/>
        <v>261780</v>
      </c>
      <c r="L301" s="18">
        <f t="shared" ref="L301:O301" si="328">ROUND($I301*L$2,0)</f>
        <v>942407</v>
      </c>
      <c r="M301" s="19">
        <v>0.99159</v>
      </c>
      <c r="N301" s="18">
        <f t="shared" si="328"/>
        <v>235602</v>
      </c>
      <c r="O301" s="18">
        <f t="shared" si="328"/>
        <v>23560185</v>
      </c>
      <c r="P301" s="18">
        <f t="shared" si="284"/>
        <v>14136.105</v>
      </c>
      <c r="Q301" s="18">
        <f t="shared" si="285"/>
        <v>78265</v>
      </c>
      <c r="R301" s="16" t="s">
        <v>727</v>
      </c>
      <c r="S301" s="4">
        <f t="shared" si="286"/>
        <v>160050090</v>
      </c>
      <c r="W301" s="4"/>
      <c r="X301" s="4"/>
      <c r="AD301" s="4" t="s">
        <v>728</v>
      </c>
      <c r="AE301" s="4">
        <v>160050005</v>
      </c>
    </row>
    <row r="302" s="2" customFormat="1" spans="1:31">
      <c r="A302" s="4">
        <v>300</v>
      </c>
      <c r="B302" s="31" t="s">
        <v>729</v>
      </c>
      <c r="C302" s="13" t="s">
        <v>714</v>
      </c>
      <c r="D302" s="17" t="s">
        <v>26</v>
      </c>
      <c r="E302" s="13">
        <v>6</v>
      </c>
      <c r="F302" s="31">
        <v>1</v>
      </c>
      <c r="G302" s="31">
        <v>1</v>
      </c>
      <c r="H302" s="6">
        <f t="shared" si="280"/>
        <v>1</v>
      </c>
      <c r="I302" s="4">
        <f t="shared" si="281"/>
        <v>302310</v>
      </c>
      <c r="J302" s="13">
        <f>ROUND(VLOOKUP(D302,[1]物品容器!$T$3:$U$8,2,FALSE)*M302,0)</f>
        <v>302310</v>
      </c>
      <c r="K302" s="18">
        <f t="shared" si="282"/>
        <v>302310</v>
      </c>
      <c r="L302" s="18">
        <f t="shared" ref="L302:O302" si="329">ROUND($I302*L$2,0)</f>
        <v>181386</v>
      </c>
      <c r="M302" s="19">
        <v>1.0077</v>
      </c>
      <c r="N302" s="18">
        <f t="shared" si="329"/>
        <v>45347</v>
      </c>
      <c r="O302" s="18">
        <f t="shared" si="329"/>
        <v>4534650</v>
      </c>
      <c r="P302" s="18">
        <f t="shared" si="284"/>
        <v>2720.79</v>
      </c>
      <c r="Q302" s="18">
        <f t="shared" si="285"/>
        <v>15064</v>
      </c>
      <c r="R302" s="16" t="s">
        <v>730</v>
      </c>
      <c r="S302" s="4">
        <f t="shared" si="286"/>
        <v>160050093</v>
      </c>
      <c r="W302" s="4"/>
      <c r="X302" s="4"/>
      <c r="AD302" s="4" t="s">
        <v>731</v>
      </c>
      <c r="AE302" s="4">
        <v>160050006</v>
      </c>
    </row>
    <row r="303" s="2" customFormat="1" spans="1:31">
      <c r="A303" s="4">
        <v>301</v>
      </c>
      <c r="B303" s="31" t="s">
        <v>732</v>
      </c>
      <c r="C303" s="13" t="s">
        <v>714</v>
      </c>
      <c r="D303" s="17" t="s">
        <v>26</v>
      </c>
      <c r="E303" s="13">
        <v>7</v>
      </c>
      <c r="F303" s="31">
        <v>1</v>
      </c>
      <c r="G303" s="31">
        <v>1</v>
      </c>
      <c r="H303" s="6">
        <f t="shared" si="280"/>
        <v>1</v>
      </c>
      <c r="I303" s="4">
        <f t="shared" si="281"/>
        <v>301593</v>
      </c>
      <c r="J303" s="13">
        <f>ROUND(VLOOKUP(D303,[1]物品容器!$T$3:$U$8,2,FALSE)*M303,0)</f>
        <v>301593</v>
      </c>
      <c r="K303" s="18">
        <f t="shared" si="282"/>
        <v>301593</v>
      </c>
      <c r="L303" s="18">
        <f t="shared" ref="L303:O303" si="330">ROUND($I303*L$2,0)</f>
        <v>180956</v>
      </c>
      <c r="M303" s="19">
        <v>1.00531</v>
      </c>
      <c r="N303" s="18">
        <f t="shared" si="330"/>
        <v>45239</v>
      </c>
      <c r="O303" s="18">
        <f t="shared" si="330"/>
        <v>4523895</v>
      </c>
      <c r="P303" s="18">
        <f t="shared" si="284"/>
        <v>2714.34</v>
      </c>
      <c r="Q303" s="18">
        <f t="shared" si="285"/>
        <v>15028</v>
      </c>
      <c r="R303" s="16" t="s">
        <v>733</v>
      </c>
      <c r="S303" s="4">
        <f t="shared" si="286"/>
        <v>160050094</v>
      </c>
      <c r="W303" s="4"/>
      <c r="X303" s="4"/>
      <c r="AD303" s="4" t="s">
        <v>734</v>
      </c>
      <c r="AE303" s="4">
        <v>160050007</v>
      </c>
    </row>
    <row r="304" s="2" customFormat="1" spans="1:31">
      <c r="A304" s="4">
        <v>302</v>
      </c>
      <c r="B304" s="31" t="s">
        <v>735</v>
      </c>
      <c r="C304" s="13" t="s">
        <v>714</v>
      </c>
      <c r="D304" s="17" t="s">
        <v>26</v>
      </c>
      <c r="E304" s="13">
        <v>8</v>
      </c>
      <c r="F304" s="31">
        <v>2</v>
      </c>
      <c r="G304" s="31">
        <v>2</v>
      </c>
      <c r="H304" s="6">
        <f t="shared" si="280"/>
        <v>0.91</v>
      </c>
      <c r="I304" s="4">
        <f t="shared" si="281"/>
        <v>1087971</v>
      </c>
      <c r="J304" s="13">
        <f>ROUND(VLOOKUP(D304,[1]物品容器!$T$3:$U$8,2,FALSE)*M304,0)</f>
        <v>298893</v>
      </c>
      <c r="K304" s="18">
        <f t="shared" si="282"/>
        <v>271993</v>
      </c>
      <c r="L304" s="18">
        <f t="shared" ref="L304:O304" si="331">ROUND($I304*L$2,0)</f>
        <v>652783</v>
      </c>
      <c r="M304" s="19">
        <v>0.99631</v>
      </c>
      <c r="N304" s="18">
        <f t="shared" si="331"/>
        <v>163196</v>
      </c>
      <c r="O304" s="18">
        <f t="shared" si="331"/>
        <v>16319565</v>
      </c>
      <c r="P304" s="18">
        <f t="shared" si="284"/>
        <v>9791.745</v>
      </c>
      <c r="Q304" s="18">
        <f t="shared" si="285"/>
        <v>54212</v>
      </c>
      <c r="R304" s="16" t="s">
        <v>736</v>
      </c>
      <c r="S304" s="4">
        <f t="shared" si="286"/>
        <v>160050095</v>
      </c>
      <c r="W304" s="4"/>
      <c r="X304" s="4"/>
      <c r="AD304" s="4" t="s">
        <v>737</v>
      </c>
      <c r="AE304" s="4">
        <v>160050008</v>
      </c>
    </row>
    <row r="305" s="2" customFormat="1" spans="1:31">
      <c r="A305" s="4">
        <v>303</v>
      </c>
      <c r="B305" s="31" t="s">
        <v>738</v>
      </c>
      <c r="C305" s="13" t="s">
        <v>714</v>
      </c>
      <c r="D305" s="17" t="s">
        <v>26</v>
      </c>
      <c r="E305" s="13">
        <v>9</v>
      </c>
      <c r="F305" s="31">
        <v>3</v>
      </c>
      <c r="G305" s="31">
        <v>3</v>
      </c>
      <c r="H305" s="6">
        <f t="shared" si="280"/>
        <v>0.8</v>
      </c>
      <c r="I305" s="4">
        <f t="shared" si="281"/>
        <v>2158726</v>
      </c>
      <c r="J305" s="13">
        <f>ROUND(VLOOKUP(D305,[1]物品容器!$T$3:$U$8,2,FALSE)*M305,0)</f>
        <v>299823</v>
      </c>
      <c r="K305" s="18">
        <f t="shared" si="282"/>
        <v>239858</v>
      </c>
      <c r="L305" s="18">
        <f t="shared" ref="L305:O305" si="332">ROUND($I305*L$2,0)</f>
        <v>1295236</v>
      </c>
      <c r="M305" s="19">
        <v>0.99941</v>
      </c>
      <c r="N305" s="18">
        <f t="shared" si="332"/>
        <v>323809</v>
      </c>
      <c r="O305" s="18">
        <f t="shared" si="332"/>
        <v>32380890</v>
      </c>
      <c r="P305" s="18">
        <f t="shared" si="284"/>
        <v>19428.54</v>
      </c>
      <c r="Q305" s="18">
        <f t="shared" si="285"/>
        <v>107567</v>
      </c>
      <c r="R305" s="16" t="s">
        <v>739</v>
      </c>
      <c r="S305" s="4">
        <f t="shared" si="286"/>
        <v>160050096</v>
      </c>
      <c r="W305" s="4"/>
      <c r="X305" s="4"/>
      <c r="AD305" s="4" t="s">
        <v>740</v>
      </c>
      <c r="AE305" s="4">
        <v>160050009</v>
      </c>
    </row>
    <row r="306" s="2" customFormat="1" spans="1:31">
      <c r="A306" s="4">
        <v>304</v>
      </c>
      <c r="B306" s="31" t="s">
        <v>741</v>
      </c>
      <c r="C306" s="13" t="s">
        <v>714</v>
      </c>
      <c r="D306" s="17" t="s">
        <v>26</v>
      </c>
      <c r="E306" s="13">
        <v>10</v>
      </c>
      <c r="F306" s="31">
        <v>2</v>
      </c>
      <c r="G306" s="31">
        <v>2</v>
      </c>
      <c r="H306" s="6">
        <f t="shared" si="280"/>
        <v>0.91</v>
      </c>
      <c r="I306" s="4">
        <f t="shared" si="281"/>
        <v>1096488</v>
      </c>
      <c r="J306" s="13">
        <f>ROUND(VLOOKUP(D306,[1]物品容器!$T$3:$U$8,2,FALSE)*M306,0)</f>
        <v>301233</v>
      </c>
      <c r="K306" s="18">
        <f t="shared" si="282"/>
        <v>274122</v>
      </c>
      <c r="L306" s="18">
        <f t="shared" ref="L306:O306" si="333">ROUND($I306*L$2,0)</f>
        <v>657893</v>
      </c>
      <c r="M306" s="19">
        <v>1.00411</v>
      </c>
      <c r="N306" s="18">
        <f t="shared" si="333"/>
        <v>164473</v>
      </c>
      <c r="O306" s="18">
        <f t="shared" si="333"/>
        <v>16447320</v>
      </c>
      <c r="P306" s="18">
        <f t="shared" si="284"/>
        <v>9868.395</v>
      </c>
      <c r="Q306" s="18">
        <f t="shared" si="285"/>
        <v>54637</v>
      </c>
      <c r="R306" s="16" t="s">
        <v>742</v>
      </c>
      <c r="S306" s="4">
        <f t="shared" si="286"/>
        <v>160050097</v>
      </c>
      <c r="W306" s="4"/>
      <c r="X306" s="4"/>
      <c r="AD306" s="4" t="s">
        <v>743</v>
      </c>
      <c r="AE306" s="4">
        <v>160050010</v>
      </c>
    </row>
    <row r="307" s="2" customFormat="1" spans="1:31">
      <c r="A307" s="4">
        <v>305</v>
      </c>
      <c r="B307" s="31" t="s">
        <v>744</v>
      </c>
      <c r="C307" s="13" t="s">
        <v>714</v>
      </c>
      <c r="D307" s="17" t="s">
        <v>26</v>
      </c>
      <c r="E307" s="13">
        <v>11</v>
      </c>
      <c r="F307" s="31">
        <v>2</v>
      </c>
      <c r="G307" s="31">
        <v>3</v>
      </c>
      <c r="H307" s="6">
        <f t="shared" si="280"/>
        <v>0.88</v>
      </c>
      <c r="I307" s="4">
        <f t="shared" si="281"/>
        <v>1571011</v>
      </c>
      <c r="J307" s="13">
        <f>ROUND(VLOOKUP(D307,[1]物品容器!$T$3:$U$8,2,FALSE)*M307,0)</f>
        <v>297540</v>
      </c>
      <c r="K307" s="18">
        <f t="shared" si="282"/>
        <v>261835</v>
      </c>
      <c r="L307" s="18">
        <f t="shared" ref="L307:O307" si="334">ROUND($I307*L$2,0)</f>
        <v>942607</v>
      </c>
      <c r="M307" s="19">
        <v>0.9918</v>
      </c>
      <c r="N307" s="18">
        <f t="shared" si="334"/>
        <v>235652</v>
      </c>
      <c r="O307" s="18">
        <f t="shared" si="334"/>
        <v>23565165</v>
      </c>
      <c r="P307" s="18">
        <f t="shared" si="284"/>
        <v>14139.105</v>
      </c>
      <c r="Q307" s="18">
        <f t="shared" si="285"/>
        <v>78282</v>
      </c>
      <c r="R307" s="16" t="s">
        <v>745</v>
      </c>
      <c r="S307" s="4">
        <f t="shared" si="286"/>
        <v>160050098</v>
      </c>
      <c r="W307" s="4"/>
      <c r="X307" s="4"/>
      <c r="AD307" s="4" t="s">
        <v>746</v>
      </c>
      <c r="AE307" s="4">
        <v>160050011</v>
      </c>
    </row>
    <row r="308" s="2" customFormat="1" spans="1:31">
      <c r="A308" s="4">
        <v>306</v>
      </c>
      <c r="B308" s="31" t="s">
        <v>747</v>
      </c>
      <c r="C308" s="13" t="s">
        <v>714</v>
      </c>
      <c r="D308" s="17" t="s">
        <v>26</v>
      </c>
      <c r="E308" s="13">
        <v>12</v>
      </c>
      <c r="F308" s="31">
        <v>1</v>
      </c>
      <c r="G308" s="31">
        <v>1</v>
      </c>
      <c r="H308" s="6">
        <f t="shared" si="280"/>
        <v>1</v>
      </c>
      <c r="I308" s="4">
        <f t="shared" si="281"/>
        <v>302184</v>
      </c>
      <c r="J308" s="13">
        <f>ROUND(VLOOKUP(D308,[1]物品容器!$T$3:$U$8,2,FALSE)*M308,0)</f>
        <v>302184</v>
      </c>
      <c r="K308" s="18">
        <f t="shared" si="282"/>
        <v>302184</v>
      </c>
      <c r="L308" s="18">
        <f t="shared" ref="L308:O308" si="335">ROUND($I308*L$2,0)</f>
        <v>181310</v>
      </c>
      <c r="M308" s="19">
        <v>1.00728</v>
      </c>
      <c r="N308" s="18">
        <f t="shared" si="335"/>
        <v>45328</v>
      </c>
      <c r="O308" s="18">
        <f t="shared" si="335"/>
        <v>4532760</v>
      </c>
      <c r="P308" s="18">
        <f t="shared" si="284"/>
        <v>2719.65</v>
      </c>
      <c r="Q308" s="18">
        <f t="shared" si="285"/>
        <v>15057</v>
      </c>
      <c r="R308" s="16" t="s">
        <v>748</v>
      </c>
      <c r="S308" s="4">
        <f t="shared" si="286"/>
        <v>160050099</v>
      </c>
      <c r="W308" s="4"/>
      <c r="X308" s="4"/>
      <c r="AD308" s="4" t="s">
        <v>749</v>
      </c>
      <c r="AE308" s="4">
        <v>160050012</v>
      </c>
    </row>
    <row r="309" s="2" customFormat="1" spans="1:31">
      <c r="A309" s="4">
        <v>307</v>
      </c>
      <c r="B309" s="31" t="s">
        <v>750</v>
      </c>
      <c r="C309" s="13" t="s">
        <v>714</v>
      </c>
      <c r="D309" s="17" t="s">
        <v>26</v>
      </c>
      <c r="E309" s="13">
        <v>13</v>
      </c>
      <c r="F309" s="31">
        <v>1</v>
      </c>
      <c r="G309" s="31">
        <v>1</v>
      </c>
      <c r="H309" s="6">
        <f t="shared" si="280"/>
        <v>1</v>
      </c>
      <c r="I309" s="4">
        <f t="shared" si="281"/>
        <v>299442</v>
      </c>
      <c r="J309" s="13">
        <f>ROUND(VLOOKUP(D309,[1]物品容器!$T$3:$U$8,2,FALSE)*M309,0)</f>
        <v>299442</v>
      </c>
      <c r="K309" s="18">
        <f t="shared" si="282"/>
        <v>299442</v>
      </c>
      <c r="L309" s="18">
        <f t="shared" ref="L309:O309" si="336">ROUND($I309*L$2,0)</f>
        <v>179665</v>
      </c>
      <c r="M309" s="19">
        <v>0.99814</v>
      </c>
      <c r="N309" s="18">
        <f t="shared" si="336"/>
        <v>44916</v>
      </c>
      <c r="O309" s="18">
        <f t="shared" si="336"/>
        <v>4491630</v>
      </c>
      <c r="P309" s="18">
        <f t="shared" si="284"/>
        <v>2694.975</v>
      </c>
      <c r="Q309" s="18">
        <f t="shared" si="285"/>
        <v>14921</v>
      </c>
      <c r="R309" s="16" t="s">
        <v>751</v>
      </c>
      <c r="S309" s="4">
        <f t="shared" si="286"/>
        <v>160050100</v>
      </c>
      <c r="W309" s="4"/>
      <c r="X309" s="4"/>
      <c r="AD309" s="4" t="s">
        <v>752</v>
      </c>
      <c r="AE309" s="4">
        <v>160050013</v>
      </c>
    </row>
    <row r="310" s="2" customFormat="1" spans="1:31">
      <c r="A310" s="4">
        <v>308</v>
      </c>
      <c r="B310" s="31" t="s">
        <v>753</v>
      </c>
      <c r="C310" s="13" t="s">
        <v>714</v>
      </c>
      <c r="D310" s="17" t="s">
        <v>26</v>
      </c>
      <c r="E310" s="13">
        <v>14</v>
      </c>
      <c r="F310" s="31">
        <v>2</v>
      </c>
      <c r="G310" s="31">
        <v>4</v>
      </c>
      <c r="H310" s="6">
        <f t="shared" si="280"/>
        <v>0.84</v>
      </c>
      <c r="I310" s="4">
        <f t="shared" si="281"/>
        <v>2011605</v>
      </c>
      <c r="J310" s="13">
        <f>ROUND(VLOOKUP(D310,[1]物品容器!$T$3:$U$8,2,FALSE)*M310,0)</f>
        <v>299346</v>
      </c>
      <c r="K310" s="18">
        <f t="shared" si="282"/>
        <v>251451</v>
      </c>
      <c r="L310" s="18">
        <f t="shared" ref="L310:O310" si="337">ROUND($I310*L$2,0)</f>
        <v>1206963</v>
      </c>
      <c r="M310" s="19">
        <v>0.99782</v>
      </c>
      <c r="N310" s="18">
        <f t="shared" si="337"/>
        <v>301741</v>
      </c>
      <c r="O310" s="18">
        <f t="shared" si="337"/>
        <v>30174075</v>
      </c>
      <c r="P310" s="18">
        <f t="shared" si="284"/>
        <v>18104.445</v>
      </c>
      <c r="Q310" s="18">
        <f t="shared" si="285"/>
        <v>100236</v>
      </c>
      <c r="R310" s="16" t="s">
        <v>754</v>
      </c>
      <c r="S310" s="4">
        <f t="shared" si="286"/>
        <v>160050101</v>
      </c>
      <c r="W310" s="4"/>
      <c r="X310" s="4"/>
      <c r="AD310" s="4" t="s">
        <v>755</v>
      </c>
      <c r="AE310" s="4">
        <v>160050014</v>
      </c>
    </row>
    <row r="311" s="2" customFormat="1" spans="1:31">
      <c r="A311" s="4">
        <v>309</v>
      </c>
      <c r="B311" s="31" t="s">
        <v>756</v>
      </c>
      <c r="C311" s="13" t="s">
        <v>714</v>
      </c>
      <c r="D311" s="17" t="s">
        <v>26</v>
      </c>
      <c r="E311" s="13">
        <v>15</v>
      </c>
      <c r="F311" s="31">
        <v>1</v>
      </c>
      <c r="G311" s="23">
        <v>2</v>
      </c>
      <c r="H311" s="6">
        <f t="shared" si="280"/>
        <v>0.97</v>
      </c>
      <c r="I311" s="4">
        <f t="shared" si="281"/>
        <v>582105</v>
      </c>
      <c r="J311" s="13">
        <f>ROUND(VLOOKUP(D311,[1]物品容器!$T$3:$U$8,2,FALSE)*M311,0)</f>
        <v>300054</v>
      </c>
      <c r="K311" s="18">
        <f t="shared" si="282"/>
        <v>291052</v>
      </c>
      <c r="L311" s="18">
        <f t="shared" ref="L311:O311" si="338">ROUND($I311*L$2,0)</f>
        <v>349263</v>
      </c>
      <c r="M311" s="19">
        <v>1.00018</v>
      </c>
      <c r="N311" s="18">
        <f t="shared" si="338"/>
        <v>87316</v>
      </c>
      <c r="O311" s="18">
        <f t="shared" si="338"/>
        <v>8731575</v>
      </c>
      <c r="P311" s="18">
        <f t="shared" si="284"/>
        <v>5238.945</v>
      </c>
      <c r="Q311" s="18">
        <f t="shared" si="285"/>
        <v>29006</v>
      </c>
      <c r="R311" s="16" t="s">
        <v>757</v>
      </c>
      <c r="S311" s="4">
        <f t="shared" si="286"/>
        <v>160050102</v>
      </c>
      <c r="W311" s="4"/>
      <c r="X311" s="4"/>
      <c r="AD311" s="4" t="s">
        <v>758</v>
      </c>
      <c r="AE311" s="4">
        <v>160050015</v>
      </c>
    </row>
    <row r="312" s="2" customFormat="1" spans="1:31">
      <c r="A312" s="4">
        <v>310</v>
      </c>
      <c r="B312" s="31" t="s">
        <v>759</v>
      </c>
      <c r="C312" s="13" t="s">
        <v>714</v>
      </c>
      <c r="D312" s="17" t="s">
        <v>26</v>
      </c>
      <c r="E312" s="13">
        <v>16</v>
      </c>
      <c r="F312" s="31">
        <v>1</v>
      </c>
      <c r="G312" s="31">
        <v>2</v>
      </c>
      <c r="H312" s="6">
        <f t="shared" si="280"/>
        <v>0.97</v>
      </c>
      <c r="I312" s="4">
        <f t="shared" si="281"/>
        <v>582722</v>
      </c>
      <c r="J312" s="13">
        <f>ROUND(VLOOKUP(D312,[1]物品容器!$T$3:$U$8,2,FALSE)*M312,0)</f>
        <v>300372</v>
      </c>
      <c r="K312" s="18">
        <f t="shared" si="282"/>
        <v>291361</v>
      </c>
      <c r="L312" s="18">
        <f t="shared" ref="L312:O312" si="339">ROUND($I312*L$2,0)</f>
        <v>349633</v>
      </c>
      <c r="M312" s="19">
        <v>1.00124</v>
      </c>
      <c r="N312" s="18">
        <f t="shared" si="339"/>
        <v>87408</v>
      </c>
      <c r="O312" s="18">
        <f t="shared" si="339"/>
        <v>8740830</v>
      </c>
      <c r="P312" s="18">
        <f t="shared" si="284"/>
        <v>5244.495</v>
      </c>
      <c r="Q312" s="18">
        <f t="shared" si="285"/>
        <v>29036</v>
      </c>
      <c r="R312" s="16" t="s">
        <v>760</v>
      </c>
      <c r="S312" s="4">
        <f t="shared" si="286"/>
        <v>160050103</v>
      </c>
      <c r="W312" s="4"/>
      <c r="X312" s="4"/>
      <c r="AD312" s="4" t="s">
        <v>761</v>
      </c>
      <c r="AE312" s="4">
        <v>160050016</v>
      </c>
    </row>
    <row r="313" s="2" customFormat="1" spans="1:31">
      <c r="A313" s="4">
        <v>311</v>
      </c>
      <c r="B313" s="31" t="s">
        <v>762</v>
      </c>
      <c r="C313" s="13" t="s">
        <v>714</v>
      </c>
      <c r="D313" s="17" t="s">
        <v>26</v>
      </c>
      <c r="E313" s="13">
        <v>17</v>
      </c>
      <c r="F313" s="31">
        <v>2</v>
      </c>
      <c r="G313" s="31">
        <v>1</v>
      </c>
      <c r="H313" s="6">
        <f t="shared" si="280"/>
        <v>0.97</v>
      </c>
      <c r="I313" s="4">
        <f t="shared" si="281"/>
        <v>586243</v>
      </c>
      <c r="J313" s="13">
        <f>ROUND(VLOOKUP(D313,[1]物品容器!$T$3:$U$8,2,FALSE)*M313,0)</f>
        <v>302187</v>
      </c>
      <c r="K313" s="18">
        <f t="shared" si="282"/>
        <v>293121</v>
      </c>
      <c r="L313" s="18">
        <f t="shared" ref="L313:O313" si="340">ROUND($I313*L$2,0)</f>
        <v>351746</v>
      </c>
      <c r="M313" s="19">
        <v>1.00729</v>
      </c>
      <c r="N313" s="18">
        <f t="shared" si="340"/>
        <v>87936</v>
      </c>
      <c r="O313" s="18">
        <f t="shared" si="340"/>
        <v>8793645</v>
      </c>
      <c r="P313" s="18">
        <f t="shared" si="284"/>
        <v>5276.19</v>
      </c>
      <c r="Q313" s="18">
        <f t="shared" si="285"/>
        <v>29212</v>
      </c>
      <c r="R313" s="16" t="s">
        <v>763</v>
      </c>
      <c r="S313" s="4">
        <f t="shared" si="286"/>
        <v>160050104</v>
      </c>
      <c r="W313" s="4"/>
      <c r="X313" s="4"/>
      <c r="AD313" s="4" t="s">
        <v>764</v>
      </c>
      <c r="AE313" s="4">
        <v>160050017</v>
      </c>
    </row>
    <row r="314" s="2" customFormat="1" spans="1:31">
      <c r="A314" s="4">
        <v>312</v>
      </c>
      <c r="B314" s="31" t="s">
        <v>765</v>
      </c>
      <c r="C314" s="13" t="s">
        <v>714</v>
      </c>
      <c r="D314" s="17" t="s">
        <v>26</v>
      </c>
      <c r="E314" s="13">
        <v>18</v>
      </c>
      <c r="F314" s="31">
        <v>1</v>
      </c>
      <c r="G314" s="31">
        <v>1</v>
      </c>
      <c r="H314" s="6">
        <f t="shared" si="280"/>
        <v>1</v>
      </c>
      <c r="I314" s="4">
        <f t="shared" si="281"/>
        <v>301248</v>
      </c>
      <c r="J314" s="13">
        <f>ROUND(VLOOKUP(D314,[1]物品容器!$T$3:$U$8,2,FALSE)*M314,0)</f>
        <v>301248</v>
      </c>
      <c r="K314" s="18">
        <f t="shared" si="282"/>
        <v>301248</v>
      </c>
      <c r="L314" s="18">
        <f t="shared" ref="L314:O314" si="341">ROUND($I314*L$2,0)</f>
        <v>180749</v>
      </c>
      <c r="M314" s="19">
        <v>1.00416</v>
      </c>
      <c r="N314" s="18">
        <f t="shared" si="341"/>
        <v>45187</v>
      </c>
      <c r="O314" s="18">
        <f t="shared" si="341"/>
        <v>4518720</v>
      </c>
      <c r="P314" s="18">
        <f t="shared" si="284"/>
        <v>2711.235</v>
      </c>
      <c r="Q314" s="18">
        <f t="shared" si="285"/>
        <v>15011</v>
      </c>
      <c r="R314" s="16" t="s">
        <v>766</v>
      </c>
      <c r="S314" s="4">
        <f t="shared" si="286"/>
        <v>160050105</v>
      </c>
      <c r="W314" s="4"/>
      <c r="X314" s="4"/>
      <c r="AD314" s="4" t="s">
        <v>767</v>
      </c>
      <c r="AE314" s="4">
        <v>160050018</v>
      </c>
    </row>
    <row r="315" s="2" customFormat="1" spans="1:31">
      <c r="A315" s="4">
        <v>313</v>
      </c>
      <c r="B315" s="31" t="s">
        <v>768</v>
      </c>
      <c r="C315" s="13" t="s">
        <v>714</v>
      </c>
      <c r="D315" s="17" t="s">
        <v>26</v>
      </c>
      <c r="E315" s="13">
        <v>19</v>
      </c>
      <c r="F315" s="31">
        <v>1</v>
      </c>
      <c r="G315" s="31">
        <v>1</v>
      </c>
      <c r="H315" s="6">
        <f t="shared" si="280"/>
        <v>1</v>
      </c>
      <c r="I315" s="4">
        <f t="shared" si="281"/>
        <v>298050</v>
      </c>
      <c r="J315" s="13">
        <f>ROUND(VLOOKUP(D315,[1]物品容器!$T$3:$U$8,2,FALSE)*M315,0)</f>
        <v>298050</v>
      </c>
      <c r="K315" s="18">
        <f t="shared" si="282"/>
        <v>298050</v>
      </c>
      <c r="L315" s="18">
        <f t="shared" ref="L315:O315" si="342">ROUND($I315*L$2,0)</f>
        <v>178830</v>
      </c>
      <c r="M315" s="19">
        <v>0.9935</v>
      </c>
      <c r="N315" s="18">
        <f t="shared" si="342"/>
        <v>44708</v>
      </c>
      <c r="O315" s="18">
        <f t="shared" si="342"/>
        <v>4470750</v>
      </c>
      <c r="P315" s="18">
        <f t="shared" si="284"/>
        <v>2682.45</v>
      </c>
      <c r="Q315" s="18">
        <f t="shared" si="285"/>
        <v>14851</v>
      </c>
      <c r="R315" s="16" t="s">
        <v>769</v>
      </c>
      <c r="S315" s="4">
        <f t="shared" si="286"/>
        <v>160050106</v>
      </c>
      <c r="W315" s="4"/>
      <c r="X315" s="4"/>
      <c r="AD315" s="4" t="s">
        <v>770</v>
      </c>
      <c r="AE315" s="4">
        <v>160050019</v>
      </c>
    </row>
    <row r="316" s="2" customFormat="1" spans="1:31">
      <c r="A316" s="4">
        <v>314</v>
      </c>
      <c r="B316" s="31" t="s">
        <v>771</v>
      </c>
      <c r="C316" s="13" t="s">
        <v>714</v>
      </c>
      <c r="D316" s="17" t="s">
        <v>26</v>
      </c>
      <c r="E316" s="13">
        <v>20</v>
      </c>
      <c r="F316" s="31">
        <v>1</v>
      </c>
      <c r="G316" s="31">
        <v>2</v>
      </c>
      <c r="H316" s="6">
        <f t="shared" si="280"/>
        <v>0.97</v>
      </c>
      <c r="I316" s="4">
        <f t="shared" si="281"/>
        <v>582058</v>
      </c>
      <c r="J316" s="13">
        <f>ROUND(VLOOKUP(D316,[1]物品容器!$T$3:$U$8,2,FALSE)*M316,0)</f>
        <v>300030</v>
      </c>
      <c r="K316" s="18">
        <f t="shared" si="282"/>
        <v>291029</v>
      </c>
      <c r="L316" s="18">
        <f t="shared" ref="L316:O316" si="343">ROUND($I316*L$2,0)</f>
        <v>349235</v>
      </c>
      <c r="M316" s="19">
        <v>1.0001</v>
      </c>
      <c r="N316" s="18">
        <f t="shared" si="343"/>
        <v>87309</v>
      </c>
      <c r="O316" s="18">
        <f t="shared" si="343"/>
        <v>8730870</v>
      </c>
      <c r="P316" s="18">
        <f t="shared" si="284"/>
        <v>5238.525</v>
      </c>
      <c r="Q316" s="18">
        <f t="shared" si="285"/>
        <v>29003</v>
      </c>
      <c r="R316" s="16" t="s">
        <v>772</v>
      </c>
      <c r="S316" s="4">
        <f t="shared" si="286"/>
        <v>160050107</v>
      </c>
      <c r="W316" s="4"/>
      <c r="X316" s="4"/>
      <c r="AD316" s="4" t="s">
        <v>773</v>
      </c>
      <c r="AE316" s="4">
        <v>160050020</v>
      </c>
    </row>
    <row r="317" s="2" customFormat="1" spans="1:31">
      <c r="A317" s="4">
        <v>315</v>
      </c>
      <c r="B317" s="31" t="s">
        <v>774</v>
      </c>
      <c r="C317" s="13" t="s">
        <v>714</v>
      </c>
      <c r="D317" s="17" t="s">
        <v>26</v>
      </c>
      <c r="E317" s="13">
        <v>21</v>
      </c>
      <c r="F317" s="31">
        <v>2</v>
      </c>
      <c r="G317" s="31">
        <v>2</v>
      </c>
      <c r="H317" s="6">
        <f t="shared" si="280"/>
        <v>0.91</v>
      </c>
      <c r="I317" s="4">
        <f t="shared" si="281"/>
        <v>1088680</v>
      </c>
      <c r="J317" s="13">
        <f>ROUND(VLOOKUP(D317,[1]物品容器!$T$3:$U$8,2,FALSE)*M317,0)</f>
        <v>299088</v>
      </c>
      <c r="K317" s="18">
        <f t="shared" si="282"/>
        <v>272170</v>
      </c>
      <c r="L317" s="18">
        <f t="shared" ref="L317:O317" si="344">ROUND($I317*L$2,0)</f>
        <v>653208</v>
      </c>
      <c r="M317" s="19">
        <v>0.99696</v>
      </c>
      <c r="N317" s="18">
        <f t="shared" si="344"/>
        <v>163302</v>
      </c>
      <c r="O317" s="18">
        <f t="shared" si="344"/>
        <v>16330200</v>
      </c>
      <c r="P317" s="18">
        <f t="shared" si="284"/>
        <v>9798.12</v>
      </c>
      <c r="Q317" s="18">
        <f t="shared" si="285"/>
        <v>54248</v>
      </c>
      <c r="R317" s="16" t="s">
        <v>775</v>
      </c>
      <c r="S317" s="4">
        <f t="shared" si="286"/>
        <v>160050108</v>
      </c>
      <c r="W317" s="4"/>
      <c r="X317" s="4"/>
      <c r="AD317" s="4" t="s">
        <v>776</v>
      </c>
      <c r="AE317" s="4">
        <v>160050021</v>
      </c>
    </row>
    <row r="318" s="2" customFormat="1" spans="1:31">
      <c r="A318" s="4">
        <v>316</v>
      </c>
      <c r="B318" s="31" t="s">
        <v>777</v>
      </c>
      <c r="C318" s="13" t="s">
        <v>714</v>
      </c>
      <c r="D318" s="17" t="s">
        <v>26</v>
      </c>
      <c r="E318" s="13">
        <v>22</v>
      </c>
      <c r="F318" s="31">
        <v>4</v>
      </c>
      <c r="G318" s="31">
        <v>1</v>
      </c>
      <c r="H318" s="6">
        <f t="shared" si="280"/>
        <v>0.91</v>
      </c>
      <c r="I318" s="4">
        <f t="shared" si="281"/>
        <v>1097864</v>
      </c>
      <c r="J318" s="13">
        <f>ROUND(VLOOKUP(D318,[1]物品容器!$T$3:$U$8,2,FALSE)*M318,0)</f>
        <v>301611</v>
      </c>
      <c r="K318" s="18">
        <f t="shared" si="282"/>
        <v>274466</v>
      </c>
      <c r="L318" s="18">
        <f t="shared" ref="L318:O318" si="345">ROUND($I318*L$2,0)</f>
        <v>658718</v>
      </c>
      <c r="M318" s="19">
        <v>1.00537</v>
      </c>
      <c r="N318" s="18">
        <f t="shared" si="345"/>
        <v>164680</v>
      </c>
      <c r="O318" s="18">
        <f t="shared" si="345"/>
        <v>16467960</v>
      </c>
      <c r="P318" s="18">
        <f t="shared" si="284"/>
        <v>9880.77</v>
      </c>
      <c r="Q318" s="18">
        <f t="shared" si="285"/>
        <v>54705</v>
      </c>
      <c r="R318" s="16" t="s">
        <v>778</v>
      </c>
      <c r="S318" s="4">
        <f t="shared" si="286"/>
        <v>160050109</v>
      </c>
      <c r="W318" s="4"/>
      <c r="X318" s="4"/>
      <c r="AD318" s="4" t="s">
        <v>779</v>
      </c>
      <c r="AE318" s="4">
        <v>160050022</v>
      </c>
    </row>
    <row r="319" s="2" customFormat="1" spans="1:31">
      <c r="A319" s="4">
        <v>317</v>
      </c>
      <c r="B319" s="31" t="s">
        <v>780</v>
      </c>
      <c r="C319" s="13" t="s">
        <v>714</v>
      </c>
      <c r="D319" s="17" t="s">
        <v>26</v>
      </c>
      <c r="E319" s="13">
        <v>23</v>
      </c>
      <c r="F319" s="31">
        <v>2</v>
      </c>
      <c r="G319" s="31">
        <v>2</v>
      </c>
      <c r="H319" s="6">
        <f t="shared" si="280"/>
        <v>0.91</v>
      </c>
      <c r="I319" s="4">
        <f t="shared" si="281"/>
        <v>1093245</v>
      </c>
      <c r="J319" s="13">
        <f>ROUND(VLOOKUP(D319,[1]物品容器!$T$3:$U$8,2,FALSE)*M319,0)</f>
        <v>300342</v>
      </c>
      <c r="K319" s="18">
        <f t="shared" si="282"/>
        <v>273311</v>
      </c>
      <c r="L319" s="18">
        <f t="shared" ref="L319:O319" si="346">ROUND($I319*L$2,0)</f>
        <v>655947</v>
      </c>
      <c r="M319" s="19">
        <v>1.00114</v>
      </c>
      <c r="N319" s="18">
        <f t="shared" si="346"/>
        <v>163987</v>
      </c>
      <c r="O319" s="18">
        <f t="shared" si="346"/>
        <v>16398675</v>
      </c>
      <c r="P319" s="18">
        <f t="shared" si="284"/>
        <v>9839.205</v>
      </c>
      <c r="Q319" s="18">
        <f t="shared" si="285"/>
        <v>54475</v>
      </c>
      <c r="R319" s="16" t="s">
        <v>781</v>
      </c>
      <c r="S319" s="4">
        <f t="shared" si="286"/>
        <v>160050110</v>
      </c>
      <c r="W319" s="4"/>
      <c r="X319" s="4"/>
      <c r="AD319" s="4" t="s">
        <v>782</v>
      </c>
      <c r="AE319" s="4">
        <v>160050023</v>
      </c>
    </row>
    <row r="320" s="2" customFormat="1" spans="1:31">
      <c r="A320" s="4">
        <v>318</v>
      </c>
      <c r="B320" s="31" t="s">
        <v>783</v>
      </c>
      <c r="C320" s="13" t="s">
        <v>714</v>
      </c>
      <c r="D320" s="17" t="s">
        <v>26</v>
      </c>
      <c r="E320" s="13">
        <v>24</v>
      </c>
      <c r="F320" s="31">
        <v>2</v>
      </c>
      <c r="G320" s="31">
        <v>2</v>
      </c>
      <c r="H320" s="6">
        <f t="shared" si="280"/>
        <v>0.91</v>
      </c>
      <c r="I320" s="4">
        <f t="shared" si="281"/>
        <v>1091279</v>
      </c>
      <c r="J320" s="13">
        <f>ROUND(VLOOKUP(D320,[1]物品容器!$T$3:$U$8,2,FALSE)*M320,0)</f>
        <v>299802</v>
      </c>
      <c r="K320" s="18">
        <f t="shared" si="282"/>
        <v>272820</v>
      </c>
      <c r="L320" s="18">
        <f t="shared" ref="L320:O320" si="347">ROUND($I320*L$2,0)</f>
        <v>654767</v>
      </c>
      <c r="M320" s="19">
        <v>0.99934</v>
      </c>
      <c r="N320" s="18">
        <f t="shared" si="347"/>
        <v>163692</v>
      </c>
      <c r="O320" s="18">
        <f t="shared" si="347"/>
        <v>16369185</v>
      </c>
      <c r="P320" s="18">
        <f t="shared" si="284"/>
        <v>9821.505</v>
      </c>
      <c r="Q320" s="18">
        <f t="shared" si="285"/>
        <v>54377</v>
      </c>
      <c r="R320" s="16" t="s">
        <v>784</v>
      </c>
      <c r="S320" s="4">
        <f t="shared" si="286"/>
        <v>160050111</v>
      </c>
      <c r="W320" s="4"/>
      <c r="X320" s="4"/>
      <c r="AD320" s="4" t="s">
        <v>785</v>
      </c>
      <c r="AE320" s="4">
        <v>160050024</v>
      </c>
    </row>
    <row r="321" s="2" customFormat="1" spans="1:31">
      <c r="A321" s="4">
        <v>319</v>
      </c>
      <c r="B321" s="31" t="s">
        <v>786</v>
      </c>
      <c r="C321" s="13" t="s">
        <v>714</v>
      </c>
      <c r="D321" s="17" t="s">
        <v>26</v>
      </c>
      <c r="E321" s="13">
        <v>25</v>
      </c>
      <c r="F321" s="31">
        <v>1</v>
      </c>
      <c r="G321" s="31">
        <v>1</v>
      </c>
      <c r="H321" s="6">
        <f t="shared" si="280"/>
        <v>1</v>
      </c>
      <c r="I321" s="4">
        <f t="shared" si="281"/>
        <v>301302</v>
      </c>
      <c r="J321" s="13">
        <f>ROUND(VLOOKUP(D321,[1]物品容器!$T$3:$U$8,2,FALSE)*M321,0)</f>
        <v>301302</v>
      </c>
      <c r="K321" s="18">
        <f t="shared" si="282"/>
        <v>301302</v>
      </c>
      <c r="L321" s="18">
        <f t="shared" ref="L321:O321" si="348">ROUND($I321*L$2,0)</f>
        <v>180781</v>
      </c>
      <c r="M321" s="19">
        <v>1.00434</v>
      </c>
      <c r="N321" s="18">
        <f t="shared" si="348"/>
        <v>45195</v>
      </c>
      <c r="O321" s="18">
        <f t="shared" si="348"/>
        <v>4519530</v>
      </c>
      <c r="P321" s="18">
        <f t="shared" si="284"/>
        <v>2711.715</v>
      </c>
      <c r="Q321" s="18">
        <f t="shared" si="285"/>
        <v>15014</v>
      </c>
      <c r="R321" s="16" t="s">
        <v>787</v>
      </c>
      <c r="S321" s="4">
        <f t="shared" si="286"/>
        <v>160050112</v>
      </c>
      <c r="W321" s="4"/>
      <c r="X321" s="4"/>
      <c r="AD321" s="4" t="s">
        <v>788</v>
      </c>
      <c r="AE321" s="4">
        <v>160050025</v>
      </c>
    </row>
    <row r="322" s="2" customFormat="1" spans="1:31">
      <c r="A322" s="4">
        <v>320</v>
      </c>
      <c r="B322" s="31" t="s">
        <v>789</v>
      </c>
      <c r="C322" s="13" t="s">
        <v>714</v>
      </c>
      <c r="D322" s="17" t="s">
        <v>26</v>
      </c>
      <c r="E322" s="13">
        <v>26</v>
      </c>
      <c r="F322" s="31">
        <v>1</v>
      </c>
      <c r="G322" s="31">
        <v>1</v>
      </c>
      <c r="H322" s="6">
        <f t="shared" si="280"/>
        <v>1</v>
      </c>
      <c r="I322" s="4">
        <f t="shared" si="281"/>
        <v>297687</v>
      </c>
      <c r="J322" s="13">
        <f>ROUND(VLOOKUP(D322,[1]物品容器!$T$3:$U$8,2,FALSE)*M322,0)</f>
        <v>297687</v>
      </c>
      <c r="K322" s="18">
        <f t="shared" si="282"/>
        <v>297687</v>
      </c>
      <c r="L322" s="18">
        <f t="shared" ref="L322:O322" si="349">ROUND($I322*L$2,0)</f>
        <v>178612</v>
      </c>
      <c r="M322" s="19">
        <v>0.99229</v>
      </c>
      <c r="N322" s="18">
        <f t="shared" si="349"/>
        <v>44653</v>
      </c>
      <c r="O322" s="18">
        <f t="shared" si="349"/>
        <v>4465305</v>
      </c>
      <c r="P322" s="18">
        <f t="shared" si="284"/>
        <v>2679.18</v>
      </c>
      <c r="Q322" s="18">
        <f t="shared" si="285"/>
        <v>14833</v>
      </c>
      <c r="R322" s="16" t="s">
        <v>790</v>
      </c>
      <c r="S322" s="4">
        <f t="shared" si="286"/>
        <v>160050113</v>
      </c>
      <c r="W322" s="4"/>
      <c r="X322" s="4"/>
      <c r="AD322" s="4" t="s">
        <v>791</v>
      </c>
      <c r="AE322" s="4">
        <v>160050026</v>
      </c>
    </row>
    <row r="323" s="2" customFormat="1" spans="1:31">
      <c r="A323" s="4">
        <v>321</v>
      </c>
      <c r="B323" s="31" t="s">
        <v>792</v>
      </c>
      <c r="C323" s="13" t="s">
        <v>714</v>
      </c>
      <c r="D323" s="17" t="s">
        <v>26</v>
      </c>
      <c r="E323" s="13">
        <v>27</v>
      </c>
      <c r="F323" s="31">
        <v>2</v>
      </c>
      <c r="G323" s="31">
        <v>2</v>
      </c>
      <c r="H323" s="6">
        <f t="shared" ref="H323:H386" si="350">VLOOKUP(F323*G323,$T$3:$U$11,2,FALSE)</f>
        <v>0.91</v>
      </c>
      <c r="I323" s="4">
        <f t="shared" ref="I323:I386" si="351">ROUND(F323*G323*J323*H323,0)</f>
        <v>1083340</v>
      </c>
      <c r="J323" s="13">
        <f>ROUND(VLOOKUP(D323,[1]物品容器!$T$3:$U$8,2,FALSE)*M323,0)</f>
        <v>297621</v>
      </c>
      <c r="K323" s="18">
        <f t="shared" ref="K323:K386" si="352">ROUND(J323*H323,0)</f>
        <v>270835</v>
      </c>
      <c r="L323" s="18">
        <f t="shared" ref="L323:O323" si="353">ROUND($I323*L$2,0)</f>
        <v>650004</v>
      </c>
      <c r="M323" s="19">
        <v>0.99207</v>
      </c>
      <c r="N323" s="18">
        <f t="shared" si="353"/>
        <v>162501</v>
      </c>
      <c r="O323" s="18">
        <f t="shared" si="353"/>
        <v>16250100</v>
      </c>
      <c r="P323" s="18">
        <f t="shared" ref="P323:P386" si="354">L323*1.5%</f>
        <v>9750.06</v>
      </c>
      <c r="Q323" s="18">
        <f t="shared" ref="Q323:Q386" si="355">ROUND((O323-N323)*$Q$2,0)</f>
        <v>53982</v>
      </c>
      <c r="R323" s="16" t="s">
        <v>793</v>
      </c>
      <c r="S323" s="4">
        <f t="shared" ref="S323:S386" si="356">VLOOKUP(B323,$AD:$AE,2,FALSE)</f>
        <v>160050114</v>
      </c>
      <c r="W323" s="4"/>
      <c r="X323" s="4"/>
      <c r="AD323" s="4" t="s">
        <v>794</v>
      </c>
      <c r="AE323" s="4">
        <v>160050027</v>
      </c>
    </row>
    <row r="324" s="2" customFormat="1" spans="1:31">
      <c r="A324" s="4">
        <v>322</v>
      </c>
      <c r="B324" s="31" t="s">
        <v>795</v>
      </c>
      <c r="C324" s="13" t="s">
        <v>714</v>
      </c>
      <c r="D324" s="17" t="s">
        <v>26</v>
      </c>
      <c r="E324" s="13">
        <v>28</v>
      </c>
      <c r="F324" s="31">
        <v>1</v>
      </c>
      <c r="G324" s="31">
        <v>2</v>
      </c>
      <c r="H324" s="6">
        <f t="shared" si="350"/>
        <v>0.97</v>
      </c>
      <c r="I324" s="4">
        <f t="shared" si="351"/>
        <v>579276</v>
      </c>
      <c r="J324" s="13">
        <f>ROUND(VLOOKUP(D324,[1]物品容器!$T$3:$U$8,2,FALSE)*M324,0)</f>
        <v>298596</v>
      </c>
      <c r="K324" s="18">
        <f t="shared" si="352"/>
        <v>289638</v>
      </c>
      <c r="L324" s="18">
        <f t="shared" ref="L324:O324" si="357">ROUND($I324*L$2,0)</f>
        <v>347566</v>
      </c>
      <c r="M324" s="19">
        <v>0.99532</v>
      </c>
      <c r="N324" s="18">
        <f t="shared" si="357"/>
        <v>86891</v>
      </c>
      <c r="O324" s="18">
        <f t="shared" si="357"/>
        <v>8689140</v>
      </c>
      <c r="P324" s="18">
        <f t="shared" si="354"/>
        <v>5213.49</v>
      </c>
      <c r="Q324" s="18">
        <f t="shared" si="355"/>
        <v>28865</v>
      </c>
      <c r="R324" s="16" t="s">
        <v>796</v>
      </c>
      <c r="S324" s="4">
        <f t="shared" si="356"/>
        <v>160050115</v>
      </c>
      <c r="W324" s="4"/>
      <c r="X324" s="4"/>
      <c r="AD324" s="4" t="s">
        <v>797</v>
      </c>
      <c r="AE324" s="4">
        <v>160050028</v>
      </c>
    </row>
    <row r="325" s="2" customFormat="1" spans="1:31">
      <c r="A325" s="4">
        <v>323</v>
      </c>
      <c r="B325" s="31" t="s">
        <v>798</v>
      </c>
      <c r="C325" s="13" t="s">
        <v>714</v>
      </c>
      <c r="D325" s="17" t="s">
        <v>26</v>
      </c>
      <c r="E325" s="13">
        <v>29</v>
      </c>
      <c r="F325" s="31">
        <v>3</v>
      </c>
      <c r="G325" s="31">
        <v>3</v>
      </c>
      <c r="H325" s="6">
        <f t="shared" si="350"/>
        <v>0.8</v>
      </c>
      <c r="I325" s="4">
        <f t="shared" si="351"/>
        <v>2151252</v>
      </c>
      <c r="J325" s="13">
        <f>ROUND(VLOOKUP(D325,[1]物品容器!$T$3:$U$8,2,FALSE)*M325,0)</f>
        <v>298785</v>
      </c>
      <c r="K325" s="18">
        <f t="shared" si="352"/>
        <v>239028</v>
      </c>
      <c r="L325" s="18">
        <f t="shared" ref="L325:O325" si="358">ROUND($I325*L$2,0)</f>
        <v>1290751</v>
      </c>
      <c r="M325" s="19">
        <v>0.99595</v>
      </c>
      <c r="N325" s="18">
        <f t="shared" si="358"/>
        <v>322688</v>
      </c>
      <c r="O325" s="18">
        <f t="shared" si="358"/>
        <v>32268780</v>
      </c>
      <c r="P325" s="18">
        <f t="shared" si="354"/>
        <v>19361.265</v>
      </c>
      <c r="Q325" s="18">
        <f t="shared" si="355"/>
        <v>107194</v>
      </c>
      <c r="R325" s="16" t="s">
        <v>799</v>
      </c>
      <c r="S325" s="4">
        <f t="shared" si="356"/>
        <v>160050116</v>
      </c>
      <c r="W325" s="4"/>
      <c r="X325" s="4"/>
      <c r="AD325" s="4" t="s">
        <v>800</v>
      </c>
      <c r="AE325" s="4">
        <v>160050029</v>
      </c>
    </row>
    <row r="326" s="2" customFormat="1" spans="1:31">
      <c r="A326" s="4">
        <v>324</v>
      </c>
      <c r="B326" s="31" t="s">
        <v>801</v>
      </c>
      <c r="C326" s="13" t="s">
        <v>714</v>
      </c>
      <c r="D326" s="17" t="s">
        <v>26</v>
      </c>
      <c r="E326" s="13">
        <v>30</v>
      </c>
      <c r="F326" s="31">
        <v>1</v>
      </c>
      <c r="G326" s="31">
        <v>2</v>
      </c>
      <c r="H326" s="6">
        <f t="shared" si="350"/>
        <v>0.97</v>
      </c>
      <c r="I326" s="4">
        <f t="shared" si="351"/>
        <v>583560</v>
      </c>
      <c r="J326" s="13">
        <f>ROUND(VLOOKUP(D326,[1]物品容器!$T$3:$U$8,2,FALSE)*M326,0)</f>
        <v>300804</v>
      </c>
      <c r="K326" s="18">
        <f t="shared" si="352"/>
        <v>291780</v>
      </c>
      <c r="L326" s="18">
        <f t="shared" ref="L326:O326" si="359">ROUND($I326*L$2,0)</f>
        <v>350136</v>
      </c>
      <c r="M326" s="19">
        <v>1.00268</v>
      </c>
      <c r="N326" s="18">
        <f t="shared" si="359"/>
        <v>87534</v>
      </c>
      <c r="O326" s="18">
        <f t="shared" si="359"/>
        <v>8753400</v>
      </c>
      <c r="P326" s="18">
        <f t="shared" si="354"/>
        <v>5252.04</v>
      </c>
      <c r="Q326" s="18">
        <f t="shared" si="355"/>
        <v>29078</v>
      </c>
      <c r="R326" s="16" t="s">
        <v>802</v>
      </c>
      <c r="S326" s="4">
        <f t="shared" si="356"/>
        <v>160050117</v>
      </c>
      <c r="W326" s="4"/>
      <c r="X326" s="4"/>
      <c r="AD326" s="4" t="s">
        <v>803</v>
      </c>
      <c r="AE326" s="4">
        <v>160050030</v>
      </c>
    </row>
    <row r="327" s="2" customFormat="1" spans="1:31">
      <c r="A327" s="4">
        <v>325</v>
      </c>
      <c r="B327" s="31" t="s">
        <v>804</v>
      </c>
      <c r="C327" s="13" t="s">
        <v>714</v>
      </c>
      <c r="D327" s="17" t="s">
        <v>26</v>
      </c>
      <c r="E327" s="13">
        <v>31</v>
      </c>
      <c r="F327" s="31">
        <v>1</v>
      </c>
      <c r="G327" s="31">
        <v>2</v>
      </c>
      <c r="H327" s="6">
        <f t="shared" si="350"/>
        <v>0.97</v>
      </c>
      <c r="I327" s="4">
        <f t="shared" si="351"/>
        <v>580883</v>
      </c>
      <c r="J327" s="13">
        <f>ROUND(VLOOKUP(D327,[1]物品容器!$T$3:$U$8,2,FALSE)*M327,0)</f>
        <v>299424</v>
      </c>
      <c r="K327" s="18">
        <f t="shared" si="352"/>
        <v>290441</v>
      </c>
      <c r="L327" s="18">
        <f t="shared" ref="L327:O327" si="360">ROUND($I327*L$2,0)</f>
        <v>348530</v>
      </c>
      <c r="M327" s="19">
        <v>0.99808</v>
      </c>
      <c r="N327" s="18">
        <f t="shared" si="360"/>
        <v>87132</v>
      </c>
      <c r="O327" s="18">
        <f t="shared" si="360"/>
        <v>8713245</v>
      </c>
      <c r="P327" s="18">
        <f t="shared" si="354"/>
        <v>5227.95</v>
      </c>
      <c r="Q327" s="18">
        <f t="shared" si="355"/>
        <v>28945</v>
      </c>
      <c r="R327" s="16" t="s">
        <v>805</v>
      </c>
      <c r="S327" s="4">
        <f t="shared" si="356"/>
        <v>160050118</v>
      </c>
      <c r="W327" s="4"/>
      <c r="X327" s="4"/>
      <c r="AD327" s="4" t="s">
        <v>806</v>
      </c>
      <c r="AE327" s="4">
        <v>160050031</v>
      </c>
    </row>
    <row r="328" s="2" customFormat="1" spans="1:31">
      <c r="A328" s="4">
        <v>326</v>
      </c>
      <c r="B328" s="31" t="s">
        <v>807</v>
      </c>
      <c r="C328" s="13" t="s">
        <v>714</v>
      </c>
      <c r="D328" s="17" t="s">
        <v>26</v>
      </c>
      <c r="E328" s="13">
        <v>32</v>
      </c>
      <c r="F328" s="31">
        <v>1</v>
      </c>
      <c r="G328" s="31">
        <v>2</v>
      </c>
      <c r="H328" s="6">
        <f t="shared" si="350"/>
        <v>0.97</v>
      </c>
      <c r="I328" s="4">
        <f t="shared" si="351"/>
        <v>585905</v>
      </c>
      <c r="J328" s="13">
        <f>ROUND(VLOOKUP(D328,[1]物品容器!$T$3:$U$8,2,FALSE)*M328,0)</f>
        <v>302013</v>
      </c>
      <c r="K328" s="18">
        <f t="shared" si="352"/>
        <v>292953</v>
      </c>
      <c r="L328" s="18">
        <f t="shared" ref="L328:O328" si="361">ROUND($I328*L$2,0)</f>
        <v>351543</v>
      </c>
      <c r="M328" s="19">
        <v>1.00671</v>
      </c>
      <c r="N328" s="18">
        <f t="shared" si="361"/>
        <v>87886</v>
      </c>
      <c r="O328" s="18">
        <f t="shared" si="361"/>
        <v>8788575</v>
      </c>
      <c r="P328" s="18">
        <f t="shared" si="354"/>
        <v>5273.145</v>
      </c>
      <c r="Q328" s="18">
        <f t="shared" si="355"/>
        <v>29195</v>
      </c>
      <c r="R328" s="16" t="s">
        <v>808</v>
      </c>
      <c r="S328" s="4">
        <f t="shared" si="356"/>
        <v>160050119</v>
      </c>
      <c r="W328" s="4"/>
      <c r="X328" s="4"/>
      <c r="AD328" s="4" t="s">
        <v>809</v>
      </c>
      <c r="AE328" s="4">
        <v>160050032</v>
      </c>
    </row>
    <row r="329" s="2" customFormat="1" spans="1:31">
      <c r="A329" s="4">
        <v>327</v>
      </c>
      <c r="B329" s="31" t="s">
        <v>810</v>
      </c>
      <c r="C329" s="13" t="s">
        <v>714</v>
      </c>
      <c r="D329" s="17" t="s">
        <v>26</v>
      </c>
      <c r="E329" s="13">
        <v>33</v>
      </c>
      <c r="F329" s="31">
        <v>3</v>
      </c>
      <c r="G329" s="31">
        <v>3</v>
      </c>
      <c r="H329" s="6">
        <f t="shared" si="350"/>
        <v>0.8</v>
      </c>
      <c r="I329" s="4">
        <f t="shared" si="351"/>
        <v>2150755</v>
      </c>
      <c r="J329" s="13">
        <f>ROUND(VLOOKUP(D329,[1]物品容器!$T$3:$U$8,2,FALSE)*M329,0)</f>
        <v>298716</v>
      </c>
      <c r="K329" s="18">
        <f t="shared" si="352"/>
        <v>238973</v>
      </c>
      <c r="L329" s="18">
        <f t="shared" ref="L329:O329" si="362">ROUND($I329*L$2,0)</f>
        <v>1290453</v>
      </c>
      <c r="M329" s="19">
        <v>0.99572</v>
      </c>
      <c r="N329" s="18">
        <f t="shared" si="362"/>
        <v>322613</v>
      </c>
      <c r="O329" s="18">
        <f t="shared" si="362"/>
        <v>32261325</v>
      </c>
      <c r="P329" s="18">
        <f t="shared" si="354"/>
        <v>19356.795</v>
      </c>
      <c r="Q329" s="18">
        <f t="shared" si="355"/>
        <v>107170</v>
      </c>
      <c r="R329" s="16" t="s">
        <v>811</v>
      </c>
      <c r="S329" s="4">
        <f t="shared" si="356"/>
        <v>160050120</v>
      </c>
      <c r="W329" s="4"/>
      <c r="X329" s="4"/>
      <c r="AD329" s="4" t="s">
        <v>812</v>
      </c>
      <c r="AE329" s="4">
        <v>160050033</v>
      </c>
    </row>
    <row r="330" s="2" customFormat="1" spans="1:31">
      <c r="A330" s="4">
        <v>328</v>
      </c>
      <c r="B330" s="31" t="s">
        <v>813</v>
      </c>
      <c r="C330" s="13" t="s">
        <v>714</v>
      </c>
      <c r="D330" s="17" t="s">
        <v>26</v>
      </c>
      <c r="E330" s="13">
        <v>34</v>
      </c>
      <c r="F330" s="31">
        <v>1</v>
      </c>
      <c r="G330" s="31">
        <v>2</v>
      </c>
      <c r="H330" s="6">
        <f t="shared" si="350"/>
        <v>0.97</v>
      </c>
      <c r="I330" s="4">
        <f t="shared" si="351"/>
        <v>577699</v>
      </c>
      <c r="J330" s="13">
        <f>ROUND(VLOOKUP(D330,[1]物品容器!$T$3:$U$8,2,FALSE)*M330,0)</f>
        <v>297783</v>
      </c>
      <c r="K330" s="18">
        <f t="shared" si="352"/>
        <v>288850</v>
      </c>
      <c r="L330" s="18">
        <f t="shared" ref="L330:O330" si="363">ROUND($I330*L$2,0)</f>
        <v>346619</v>
      </c>
      <c r="M330" s="19">
        <v>0.99261</v>
      </c>
      <c r="N330" s="18">
        <f t="shared" si="363"/>
        <v>86655</v>
      </c>
      <c r="O330" s="18">
        <f t="shared" si="363"/>
        <v>8665485</v>
      </c>
      <c r="P330" s="18">
        <f t="shared" si="354"/>
        <v>5199.285</v>
      </c>
      <c r="Q330" s="18">
        <f t="shared" si="355"/>
        <v>28786</v>
      </c>
      <c r="R330" s="16" t="s">
        <v>814</v>
      </c>
      <c r="S330" s="4">
        <f t="shared" si="356"/>
        <v>160050121</v>
      </c>
      <c r="W330" s="4"/>
      <c r="X330" s="4"/>
      <c r="AD330" s="4" t="s">
        <v>815</v>
      </c>
      <c r="AE330" s="4">
        <v>160050034</v>
      </c>
    </row>
    <row r="331" s="2" customFormat="1" spans="1:31">
      <c r="A331" s="4">
        <v>329</v>
      </c>
      <c r="B331" s="31" t="s">
        <v>816</v>
      </c>
      <c r="C331" s="13" t="s">
        <v>714</v>
      </c>
      <c r="D331" s="17" t="s">
        <v>26</v>
      </c>
      <c r="E331" s="13">
        <v>35</v>
      </c>
      <c r="F331" s="31">
        <v>2</v>
      </c>
      <c r="G331" s="31">
        <v>3</v>
      </c>
      <c r="H331" s="6">
        <f t="shared" si="350"/>
        <v>0.88</v>
      </c>
      <c r="I331" s="4">
        <f t="shared" si="351"/>
        <v>1598557</v>
      </c>
      <c r="J331" s="13">
        <f>ROUND(VLOOKUP(D331,[1]物品容器!$T$3:$U$8,2,FALSE)*M331,0)</f>
        <v>302757</v>
      </c>
      <c r="K331" s="18">
        <f t="shared" si="352"/>
        <v>266426</v>
      </c>
      <c r="L331" s="18">
        <f t="shared" ref="L331:O331" si="364">ROUND($I331*L$2,0)</f>
        <v>959134</v>
      </c>
      <c r="M331" s="19">
        <v>1.00919</v>
      </c>
      <c r="N331" s="18">
        <f t="shared" si="364"/>
        <v>239784</v>
      </c>
      <c r="O331" s="18">
        <f t="shared" si="364"/>
        <v>23978355</v>
      </c>
      <c r="P331" s="18">
        <f t="shared" si="354"/>
        <v>14387.01</v>
      </c>
      <c r="Q331" s="18">
        <f t="shared" si="355"/>
        <v>79654</v>
      </c>
      <c r="R331" s="16" t="s">
        <v>817</v>
      </c>
      <c r="S331" s="4">
        <f t="shared" si="356"/>
        <v>160050122</v>
      </c>
      <c r="W331" s="4"/>
      <c r="X331" s="4"/>
      <c r="AD331" s="4" t="s">
        <v>818</v>
      </c>
      <c r="AE331" s="4">
        <v>160050035</v>
      </c>
    </row>
    <row r="332" s="2" customFormat="1" spans="1:31">
      <c r="A332" s="4">
        <v>330</v>
      </c>
      <c r="B332" s="31" t="s">
        <v>819</v>
      </c>
      <c r="C332" s="13" t="s">
        <v>714</v>
      </c>
      <c r="D332" s="17" t="s">
        <v>26</v>
      </c>
      <c r="E332" s="13">
        <v>36</v>
      </c>
      <c r="F332" s="31">
        <v>1</v>
      </c>
      <c r="G332" s="31">
        <v>1</v>
      </c>
      <c r="H332" s="6">
        <f t="shared" si="350"/>
        <v>1</v>
      </c>
      <c r="I332" s="4">
        <f t="shared" si="351"/>
        <v>297753</v>
      </c>
      <c r="J332" s="13">
        <f>ROUND(VLOOKUP(D332,[1]物品容器!$T$3:$U$8,2,FALSE)*M332,0)</f>
        <v>297753</v>
      </c>
      <c r="K332" s="18">
        <f t="shared" si="352"/>
        <v>297753</v>
      </c>
      <c r="L332" s="18">
        <f t="shared" ref="L332:O332" si="365">ROUND($I332*L$2,0)</f>
        <v>178652</v>
      </c>
      <c r="M332" s="19">
        <v>0.99251</v>
      </c>
      <c r="N332" s="18">
        <f t="shared" si="365"/>
        <v>44663</v>
      </c>
      <c r="O332" s="18">
        <f t="shared" si="365"/>
        <v>4466295</v>
      </c>
      <c r="P332" s="18">
        <f t="shared" si="354"/>
        <v>2679.78</v>
      </c>
      <c r="Q332" s="18">
        <f t="shared" si="355"/>
        <v>14837</v>
      </c>
      <c r="R332" s="16" t="s">
        <v>820</v>
      </c>
      <c r="S332" s="4">
        <f t="shared" si="356"/>
        <v>160050123</v>
      </c>
      <c r="W332" s="4"/>
      <c r="X332" s="4"/>
      <c r="AD332" s="4" t="s">
        <v>821</v>
      </c>
      <c r="AE332" s="4">
        <v>160050036</v>
      </c>
    </row>
    <row r="333" s="2" customFormat="1" spans="1:31">
      <c r="A333" s="4">
        <v>331</v>
      </c>
      <c r="B333" s="31" t="s">
        <v>822</v>
      </c>
      <c r="C333" s="13" t="s">
        <v>714</v>
      </c>
      <c r="D333" s="17" t="s">
        <v>26</v>
      </c>
      <c r="E333" s="13">
        <v>37</v>
      </c>
      <c r="F333" s="31">
        <v>1</v>
      </c>
      <c r="G333" s="31">
        <v>2</v>
      </c>
      <c r="H333" s="6">
        <f t="shared" si="350"/>
        <v>0.97</v>
      </c>
      <c r="I333" s="4">
        <f t="shared" si="351"/>
        <v>584776</v>
      </c>
      <c r="J333" s="13">
        <f>ROUND(VLOOKUP(D333,[1]物品容器!$T$3:$U$8,2,FALSE)*M333,0)</f>
        <v>301431</v>
      </c>
      <c r="K333" s="18">
        <f t="shared" si="352"/>
        <v>292388</v>
      </c>
      <c r="L333" s="18">
        <f t="shared" ref="L333:O333" si="366">ROUND($I333*L$2,0)</f>
        <v>350866</v>
      </c>
      <c r="M333" s="19">
        <v>1.00477</v>
      </c>
      <c r="N333" s="18">
        <f t="shared" si="366"/>
        <v>87716</v>
      </c>
      <c r="O333" s="18">
        <f t="shared" si="366"/>
        <v>8771640</v>
      </c>
      <c r="P333" s="18">
        <f t="shared" si="354"/>
        <v>5262.99</v>
      </c>
      <c r="Q333" s="18">
        <f t="shared" si="355"/>
        <v>29139</v>
      </c>
      <c r="R333" s="16" t="s">
        <v>823</v>
      </c>
      <c r="S333" s="4">
        <f t="shared" si="356"/>
        <v>160050124</v>
      </c>
      <c r="W333" s="4"/>
      <c r="X333" s="4"/>
      <c r="AD333" s="4" t="s">
        <v>824</v>
      </c>
      <c r="AE333" s="4">
        <v>160050037</v>
      </c>
    </row>
    <row r="334" s="2" customFormat="1" spans="1:31">
      <c r="A334" s="4">
        <v>332</v>
      </c>
      <c r="B334" s="31" t="s">
        <v>825</v>
      </c>
      <c r="C334" s="13" t="s">
        <v>714</v>
      </c>
      <c r="D334" s="17" t="s">
        <v>26</v>
      </c>
      <c r="E334" s="13">
        <v>38</v>
      </c>
      <c r="F334" s="31">
        <v>1</v>
      </c>
      <c r="G334" s="31">
        <v>1</v>
      </c>
      <c r="H334" s="6">
        <f t="shared" si="350"/>
        <v>1</v>
      </c>
      <c r="I334" s="4">
        <f t="shared" si="351"/>
        <v>300861</v>
      </c>
      <c r="J334" s="13">
        <f>ROUND(VLOOKUP(D334,[1]物品容器!$T$3:$U$8,2,FALSE)*M334,0)</f>
        <v>300861</v>
      </c>
      <c r="K334" s="18">
        <f t="shared" si="352"/>
        <v>300861</v>
      </c>
      <c r="L334" s="18">
        <f t="shared" ref="L334:O334" si="367">ROUND($I334*L$2,0)</f>
        <v>180517</v>
      </c>
      <c r="M334" s="19">
        <v>1.00287</v>
      </c>
      <c r="N334" s="18">
        <f t="shared" si="367"/>
        <v>45129</v>
      </c>
      <c r="O334" s="18">
        <f t="shared" si="367"/>
        <v>4512915</v>
      </c>
      <c r="P334" s="18">
        <f t="shared" si="354"/>
        <v>2707.755</v>
      </c>
      <c r="Q334" s="18">
        <f t="shared" si="355"/>
        <v>14992</v>
      </c>
      <c r="R334" s="16" t="s">
        <v>826</v>
      </c>
      <c r="S334" s="4">
        <f t="shared" si="356"/>
        <v>160050125</v>
      </c>
      <c r="W334" s="4"/>
      <c r="X334" s="4"/>
      <c r="AD334" s="4" t="s">
        <v>827</v>
      </c>
      <c r="AE334" s="4">
        <v>160050038</v>
      </c>
    </row>
    <row r="335" s="2" customFormat="1" spans="1:31">
      <c r="A335" s="4">
        <v>333</v>
      </c>
      <c r="B335" s="31" t="s">
        <v>828</v>
      </c>
      <c r="C335" s="13" t="s">
        <v>714</v>
      </c>
      <c r="D335" s="17" t="s">
        <v>26</v>
      </c>
      <c r="E335" s="13">
        <v>39</v>
      </c>
      <c r="F335" s="31">
        <v>2</v>
      </c>
      <c r="G335" s="31">
        <v>2</v>
      </c>
      <c r="H335" s="6">
        <f t="shared" si="350"/>
        <v>0.91</v>
      </c>
      <c r="I335" s="4">
        <f t="shared" si="351"/>
        <v>1081113</v>
      </c>
      <c r="J335" s="13">
        <f>ROUND(VLOOKUP(D335,[1]物品容器!$T$3:$U$8,2,FALSE)*M335,0)</f>
        <v>297009</v>
      </c>
      <c r="K335" s="18">
        <f t="shared" si="352"/>
        <v>270278</v>
      </c>
      <c r="L335" s="18">
        <f t="shared" ref="L335:O335" si="368">ROUND($I335*L$2,0)</f>
        <v>648668</v>
      </c>
      <c r="M335" s="19">
        <v>0.99003</v>
      </c>
      <c r="N335" s="18">
        <f t="shared" si="368"/>
        <v>162167</v>
      </c>
      <c r="O335" s="18">
        <f t="shared" si="368"/>
        <v>16216695</v>
      </c>
      <c r="P335" s="18">
        <f t="shared" si="354"/>
        <v>9730.02</v>
      </c>
      <c r="Q335" s="18">
        <f t="shared" si="355"/>
        <v>53871</v>
      </c>
      <c r="R335" s="16" t="s">
        <v>829</v>
      </c>
      <c r="S335" s="4">
        <f t="shared" si="356"/>
        <v>160050126</v>
      </c>
      <c r="W335" s="4"/>
      <c r="X335" s="4"/>
      <c r="AD335" s="4" t="s">
        <v>830</v>
      </c>
      <c r="AE335" s="4">
        <v>160050039</v>
      </c>
    </row>
    <row r="336" s="2" customFormat="1" spans="1:31">
      <c r="A336" s="4">
        <v>334</v>
      </c>
      <c r="B336" s="31" t="s">
        <v>831</v>
      </c>
      <c r="C336" s="13" t="s">
        <v>714</v>
      </c>
      <c r="D336" s="17" t="s">
        <v>26</v>
      </c>
      <c r="E336" s="13">
        <v>40</v>
      </c>
      <c r="F336" s="31">
        <v>1</v>
      </c>
      <c r="G336" s="31">
        <v>1</v>
      </c>
      <c r="H336" s="6">
        <f t="shared" si="350"/>
        <v>1</v>
      </c>
      <c r="I336" s="4">
        <f t="shared" si="351"/>
        <v>302457</v>
      </c>
      <c r="J336" s="13">
        <f>ROUND(VLOOKUP(D336,[1]物品容器!$T$3:$U$8,2,FALSE)*M336,0)</f>
        <v>302457</v>
      </c>
      <c r="K336" s="18">
        <f t="shared" si="352"/>
        <v>302457</v>
      </c>
      <c r="L336" s="18">
        <f t="shared" ref="L336:O336" si="369">ROUND($I336*L$2,0)</f>
        <v>181474</v>
      </c>
      <c r="M336" s="19">
        <v>1.00819</v>
      </c>
      <c r="N336" s="18">
        <f t="shared" si="369"/>
        <v>45369</v>
      </c>
      <c r="O336" s="18">
        <f t="shared" si="369"/>
        <v>4536855</v>
      </c>
      <c r="P336" s="18">
        <f t="shared" si="354"/>
        <v>2722.11</v>
      </c>
      <c r="Q336" s="18">
        <f t="shared" si="355"/>
        <v>15071</v>
      </c>
      <c r="R336" s="16" t="s">
        <v>832</v>
      </c>
      <c r="S336" s="4">
        <f t="shared" si="356"/>
        <v>160050127</v>
      </c>
      <c r="W336" s="4"/>
      <c r="X336" s="4"/>
      <c r="AD336" s="4" t="s">
        <v>833</v>
      </c>
      <c r="AE336" s="4">
        <v>160050040</v>
      </c>
    </row>
    <row r="337" s="2" customFormat="1" spans="1:31">
      <c r="A337" s="4">
        <v>335</v>
      </c>
      <c r="B337" s="31" t="s">
        <v>834</v>
      </c>
      <c r="C337" s="13" t="s">
        <v>714</v>
      </c>
      <c r="D337" s="22" t="s">
        <v>41</v>
      </c>
      <c r="E337" s="13">
        <v>41</v>
      </c>
      <c r="F337" s="31">
        <v>1</v>
      </c>
      <c r="G337" s="31">
        <v>2</v>
      </c>
      <c r="H337" s="6">
        <f t="shared" si="350"/>
        <v>0.97</v>
      </c>
      <c r="I337" s="4">
        <f t="shared" si="351"/>
        <v>194830</v>
      </c>
      <c r="J337" s="13">
        <f>ROUND(VLOOKUP(D337,[1]物品容器!$T$3:$U$8,2,FALSE)*M337,0)</f>
        <v>100428</v>
      </c>
      <c r="K337" s="18">
        <f t="shared" si="352"/>
        <v>97415</v>
      </c>
      <c r="L337" s="18">
        <f t="shared" ref="L337:O337" si="370">ROUND($I337*L$2,0)</f>
        <v>116898</v>
      </c>
      <c r="M337" s="19">
        <v>1.00428</v>
      </c>
      <c r="N337" s="18">
        <f t="shared" si="370"/>
        <v>29225</v>
      </c>
      <c r="O337" s="18">
        <f t="shared" si="370"/>
        <v>2922450</v>
      </c>
      <c r="P337" s="18">
        <f t="shared" si="354"/>
        <v>1753.47</v>
      </c>
      <c r="Q337" s="18">
        <f t="shared" si="355"/>
        <v>9708</v>
      </c>
      <c r="R337" s="16" t="s">
        <v>835</v>
      </c>
      <c r="S337" s="4">
        <f t="shared" si="356"/>
        <v>160050065</v>
      </c>
      <c r="W337" s="4"/>
      <c r="X337" s="4"/>
      <c r="AD337" s="4" t="s">
        <v>836</v>
      </c>
      <c r="AE337" s="4">
        <v>160050041</v>
      </c>
    </row>
    <row r="338" s="2" customFormat="1" spans="1:31">
      <c r="A338" s="4">
        <v>336</v>
      </c>
      <c r="B338" s="31" t="s">
        <v>837</v>
      </c>
      <c r="C338" s="13" t="s">
        <v>714</v>
      </c>
      <c r="D338" s="22" t="s">
        <v>41</v>
      </c>
      <c r="E338" s="13">
        <v>42</v>
      </c>
      <c r="F338" s="31">
        <v>1</v>
      </c>
      <c r="G338" s="31">
        <v>1</v>
      </c>
      <c r="H338" s="6">
        <f t="shared" si="350"/>
        <v>1</v>
      </c>
      <c r="I338" s="4">
        <f t="shared" si="351"/>
        <v>100995</v>
      </c>
      <c r="J338" s="13">
        <f>ROUND(VLOOKUP(D338,[1]物品容器!$T$3:$U$8,2,FALSE)*M338,0)</f>
        <v>100995</v>
      </c>
      <c r="K338" s="18">
        <f t="shared" si="352"/>
        <v>100995</v>
      </c>
      <c r="L338" s="18">
        <f t="shared" ref="L338:O338" si="371">ROUND($I338*L$2,0)</f>
        <v>60597</v>
      </c>
      <c r="M338" s="19">
        <v>1.00995</v>
      </c>
      <c r="N338" s="18">
        <f t="shared" si="371"/>
        <v>15149</v>
      </c>
      <c r="O338" s="18">
        <f t="shared" si="371"/>
        <v>1514925</v>
      </c>
      <c r="P338" s="18">
        <f t="shared" si="354"/>
        <v>908.955</v>
      </c>
      <c r="Q338" s="18">
        <f t="shared" si="355"/>
        <v>5032</v>
      </c>
      <c r="R338" s="16" t="s">
        <v>838</v>
      </c>
      <c r="S338" s="4">
        <f t="shared" si="356"/>
        <v>160050066</v>
      </c>
      <c r="W338" s="4"/>
      <c r="X338" s="4"/>
      <c r="AD338" s="4" t="s">
        <v>839</v>
      </c>
      <c r="AE338" s="4">
        <v>160050042</v>
      </c>
    </row>
    <row r="339" s="2" customFormat="1" spans="1:31">
      <c r="A339" s="4">
        <v>337</v>
      </c>
      <c r="B339" s="31" t="s">
        <v>840</v>
      </c>
      <c r="C339" s="13" t="s">
        <v>714</v>
      </c>
      <c r="D339" s="22" t="s">
        <v>41</v>
      </c>
      <c r="E339" s="13">
        <v>43</v>
      </c>
      <c r="F339" s="31">
        <v>1</v>
      </c>
      <c r="G339" s="23">
        <v>1</v>
      </c>
      <c r="H339" s="6">
        <f t="shared" si="350"/>
        <v>1</v>
      </c>
      <c r="I339" s="4">
        <f t="shared" si="351"/>
        <v>100639</v>
      </c>
      <c r="J339" s="13">
        <f>ROUND(VLOOKUP(D339,[1]物品容器!$T$3:$U$8,2,FALSE)*M339,0)</f>
        <v>100639</v>
      </c>
      <c r="K339" s="18">
        <f t="shared" si="352"/>
        <v>100639</v>
      </c>
      <c r="L339" s="18">
        <f t="shared" ref="L339:O339" si="372">ROUND($I339*L$2,0)</f>
        <v>60383</v>
      </c>
      <c r="M339" s="19">
        <v>1.00639</v>
      </c>
      <c r="N339" s="18">
        <f t="shared" si="372"/>
        <v>15096</v>
      </c>
      <c r="O339" s="18">
        <f t="shared" si="372"/>
        <v>1509585</v>
      </c>
      <c r="P339" s="18">
        <f t="shared" si="354"/>
        <v>905.745</v>
      </c>
      <c r="Q339" s="18">
        <f t="shared" si="355"/>
        <v>5015</v>
      </c>
      <c r="R339" s="16" t="s">
        <v>841</v>
      </c>
      <c r="S339" s="4">
        <f t="shared" si="356"/>
        <v>160050060</v>
      </c>
      <c r="W339" s="4"/>
      <c r="X339" s="4"/>
      <c r="AD339" s="4" t="s">
        <v>842</v>
      </c>
      <c r="AE339" s="4">
        <v>160050043</v>
      </c>
    </row>
    <row r="340" s="2" customFormat="1" spans="1:31">
      <c r="A340" s="4">
        <v>338</v>
      </c>
      <c r="B340" s="31" t="s">
        <v>843</v>
      </c>
      <c r="C340" s="13" t="s">
        <v>714</v>
      </c>
      <c r="D340" s="22" t="s">
        <v>41</v>
      </c>
      <c r="E340" s="13">
        <v>44</v>
      </c>
      <c r="F340" s="31">
        <v>1</v>
      </c>
      <c r="G340" s="31">
        <v>1</v>
      </c>
      <c r="H340" s="6">
        <f t="shared" si="350"/>
        <v>1</v>
      </c>
      <c r="I340" s="4">
        <f t="shared" si="351"/>
        <v>99007</v>
      </c>
      <c r="J340" s="13">
        <f>ROUND(VLOOKUP(D340,[1]物品容器!$T$3:$U$8,2,FALSE)*M340,0)</f>
        <v>99007</v>
      </c>
      <c r="K340" s="18">
        <f t="shared" si="352"/>
        <v>99007</v>
      </c>
      <c r="L340" s="18">
        <f t="shared" ref="L340:O340" si="373">ROUND($I340*L$2,0)</f>
        <v>59404</v>
      </c>
      <c r="M340" s="19">
        <v>0.99007</v>
      </c>
      <c r="N340" s="18">
        <f t="shared" si="373"/>
        <v>14851</v>
      </c>
      <c r="O340" s="18">
        <f t="shared" si="373"/>
        <v>1485105</v>
      </c>
      <c r="P340" s="18">
        <f t="shared" si="354"/>
        <v>891.06</v>
      </c>
      <c r="Q340" s="18">
        <f t="shared" si="355"/>
        <v>4933</v>
      </c>
      <c r="R340" s="16" t="s">
        <v>844</v>
      </c>
      <c r="S340" s="4">
        <f t="shared" si="356"/>
        <v>160050067</v>
      </c>
      <c r="W340" s="4"/>
      <c r="X340" s="4"/>
      <c r="AD340" s="4" t="s">
        <v>845</v>
      </c>
      <c r="AE340" s="4">
        <v>160050044</v>
      </c>
    </row>
    <row r="341" s="2" customFormat="1" spans="1:31">
      <c r="A341" s="4">
        <v>339</v>
      </c>
      <c r="B341" s="31" t="s">
        <v>846</v>
      </c>
      <c r="C341" s="13" t="s">
        <v>714</v>
      </c>
      <c r="D341" s="22" t="s">
        <v>41</v>
      </c>
      <c r="E341" s="13">
        <v>45</v>
      </c>
      <c r="F341" s="31">
        <v>3</v>
      </c>
      <c r="G341" s="31">
        <v>2</v>
      </c>
      <c r="H341" s="6">
        <f t="shared" si="350"/>
        <v>0.88</v>
      </c>
      <c r="I341" s="4">
        <f t="shared" si="351"/>
        <v>528206</v>
      </c>
      <c r="J341" s="13">
        <f>ROUND(VLOOKUP(D341,[1]物品容器!$T$3:$U$8,2,FALSE)*M341,0)</f>
        <v>100039</v>
      </c>
      <c r="K341" s="18">
        <f t="shared" si="352"/>
        <v>88034</v>
      </c>
      <c r="L341" s="18">
        <f t="shared" ref="L341:O341" si="374">ROUND($I341*L$2,0)</f>
        <v>316924</v>
      </c>
      <c r="M341" s="19">
        <v>1.00039</v>
      </c>
      <c r="N341" s="18">
        <f t="shared" si="374"/>
        <v>79231</v>
      </c>
      <c r="O341" s="18">
        <f t="shared" si="374"/>
        <v>7923090</v>
      </c>
      <c r="P341" s="18">
        <f t="shared" si="354"/>
        <v>4753.86</v>
      </c>
      <c r="Q341" s="18">
        <f t="shared" si="355"/>
        <v>26320</v>
      </c>
      <c r="R341" s="16" t="s">
        <v>847</v>
      </c>
      <c r="S341" s="4">
        <f t="shared" si="356"/>
        <v>160050061</v>
      </c>
      <c r="W341" s="4"/>
      <c r="X341" s="4"/>
      <c r="AD341" s="4" t="s">
        <v>848</v>
      </c>
      <c r="AE341" s="4">
        <v>160050045</v>
      </c>
    </row>
    <row r="342" s="2" customFormat="1" spans="1:31">
      <c r="A342" s="4">
        <v>340</v>
      </c>
      <c r="B342" s="31" t="s">
        <v>849</v>
      </c>
      <c r="C342" s="13" t="s">
        <v>714</v>
      </c>
      <c r="D342" s="22" t="s">
        <v>41</v>
      </c>
      <c r="E342" s="13">
        <v>46</v>
      </c>
      <c r="F342" s="31">
        <v>2</v>
      </c>
      <c r="G342" s="31">
        <v>1</v>
      </c>
      <c r="H342" s="6">
        <f t="shared" si="350"/>
        <v>0.97</v>
      </c>
      <c r="I342" s="4">
        <f t="shared" si="351"/>
        <v>193975</v>
      </c>
      <c r="J342" s="13">
        <f>ROUND(VLOOKUP(D342,[1]物品容器!$T$3:$U$8,2,FALSE)*M342,0)</f>
        <v>99987</v>
      </c>
      <c r="K342" s="18">
        <f t="shared" si="352"/>
        <v>96987</v>
      </c>
      <c r="L342" s="18">
        <f t="shared" ref="L342:O342" si="375">ROUND($I342*L$2,0)</f>
        <v>116385</v>
      </c>
      <c r="M342" s="19">
        <v>0.99987</v>
      </c>
      <c r="N342" s="18">
        <f t="shared" si="375"/>
        <v>29096</v>
      </c>
      <c r="O342" s="18">
        <f t="shared" si="375"/>
        <v>2909625</v>
      </c>
      <c r="P342" s="18">
        <f t="shared" si="354"/>
        <v>1745.775</v>
      </c>
      <c r="Q342" s="18">
        <f t="shared" si="355"/>
        <v>9666</v>
      </c>
      <c r="R342" s="16" t="s">
        <v>850</v>
      </c>
      <c r="S342" s="4">
        <f t="shared" si="356"/>
        <v>160050068</v>
      </c>
      <c r="W342" s="4"/>
      <c r="X342" s="4"/>
      <c r="AD342" s="4" t="s">
        <v>851</v>
      </c>
      <c r="AE342" s="4">
        <v>160050046</v>
      </c>
    </row>
    <row r="343" s="2" customFormat="1" spans="1:31">
      <c r="A343" s="4">
        <v>341</v>
      </c>
      <c r="B343" s="31" t="s">
        <v>852</v>
      </c>
      <c r="C343" s="13" t="s">
        <v>714</v>
      </c>
      <c r="D343" s="22" t="s">
        <v>41</v>
      </c>
      <c r="E343" s="13">
        <v>47</v>
      </c>
      <c r="F343" s="31">
        <v>2</v>
      </c>
      <c r="G343" s="31">
        <v>1</v>
      </c>
      <c r="H343" s="6">
        <f t="shared" si="350"/>
        <v>0.97</v>
      </c>
      <c r="I343" s="4">
        <f t="shared" si="351"/>
        <v>192157</v>
      </c>
      <c r="J343" s="13">
        <f>ROUND(VLOOKUP(D343,[1]物品容器!$T$3:$U$8,2,FALSE)*M343,0)</f>
        <v>99050</v>
      </c>
      <c r="K343" s="18">
        <f t="shared" si="352"/>
        <v>96079</v>
      </c>
      <c r="L343" s="18">
        <f t="shared" ref="L343:O343" si="376">ROUND($I343*L$2,0)</f>
        <v>115294</v>
      </c>
      <c r="M343" s="19">
        <v>0.9905</v>
      </c>
      <c r="N343" s="18">
        <f t="shared" si="376"/>
        <v>28824</v>
      </c>
      <c r="O343" s="18">
        <f t="shared" si="376"/>
        <v>2882355</v>
      </c>
      <c r="P343" s="18">
        <f t="shared" si="354"/>
        <v>1729.41</v>
      </c>
      <c r="Q343" s="18">
        <f t="shared" si="355"/>
        <v>9575</v>
      </c>
      <c r="R343" s="16" t="s">
        <v>853</v>
      </c>
      <c r="S343" s="4">
        <f t="shared" si="356"/>
        <v>160050069</v>
      </c>
      <c r="W343" s="4"/>
      <c r="X343" s="4"/>
      <c r="AD343" s="4" t="s">
        <v>854</v>
      </c>
      <c r="AE343" s="4">
        <v>160050047</v>
      </c>
    </row>
    <row r="344" s="2" customFormat="1" spans="1:31">
      <c r="A344" s="4">
        <v>342</v>
      </c>
      <c r="B344" s="31" t="s">
        <v>855</v>
      </c>
      <c r="C344" s="13" t="s">
        <v>714</v>
      </c>
      <c r="D344" s="22" t="s">
        <v>41</v>
      </c>
      <c r="E344" s="13">
        <v>48</v>
      </c>
      <c r="F344" s="31">
        <v>1</v>
      </c>
      <c r="G344" s="31">
        <v>1</v>
      </c>
      <c r="H344" s="6">
        <f t="shared" si="350"/>
        <v>1</v>
      </c>
      <c r="I344" s="4">
        <f t="shared" si="351"/>
        <v>99117</v>
      </c>
      <c r="J344" s="13">
        <f>ROUND(VLOOKUP(D344,[1]物品容器!$T$3:$U$8,2,FALSE)*M344,0)</f>
        <v>99117</v>
      </c>
      <c r="K344" s="18">
        <f t="shared" si="352"/>
        <v>99117</v>
      </c>
      <c r="L344" s="18">
        <f t="shared" ref="L344:O344" si="377">ROUND($I344*L$2,0)</f>
        <v>59470</v>
      </c>
      <c r="M344" s="19">
        <v>0.99117</v>
      </c>
      <c r="N344" s="18">
        <f t="shared" si="377"/>
        <v>14868</v>
      </c>
      <c r="O344" s="18">
        <f t="shared" si="377"/>
        <v>1486755</v>
      </c>
      <c r="P344" s="18">
        <f t="shared" si="354"/>
        <v>892.05</v>
      </c>
      <c r="Q344" s="18">
        <f t="shared" si="355"/>
        <v>4939</v>
      </c>
      <c r="R344" s="2" t="s">
        <v>856</v>
      </c>
      <c r="S344" s="4">
        <f t="shared" si="356"/>
        <v>160050055</v>
      </c>
      <c r="W344" s="4"/>
      <c r="X344" s="4"/>
      <c r="AD344" s="4" t="s">
        <v>857</v>
      </c>
      <c r="AE344" s="4">
        <v>160050048</v>
      </c>
    </row>
    <row r="345" s="2" customFormat="1" spans="1:31">
      <c r="A345" s="4">
        <v>343</v>
      </c>
      <c r="B345" s="31" t="s">
        <v>858</v>
      </c>
      <c r="C345" s="13" t="s">
        <v>714</v>
      </c>
      <c r="D345" s="22" t="s">
        <v>41</v>
      </c>
      <c r="E345" s="13">
        <v>49</v>
      </c>
      <c r="F345" s="31">
        <v>1</v>
      </c>
      <c r="G345" s="31">
        <v>2</v>
      </c>
      <c r="H345" s="6">
        <f t="shared" si="350"/>
        <v>0.97</v>
      </c>
      <c r="I345" s="4">
        <f t="shared" si="351"/>
        <v>193383</v>
      </c>
      <c r="J345" s="13">
        <f>ROUND(VLOOKUP(D345,[1]物品容器!$T$3:$U$8,2,FALSE)*M345,0)</f>
        <v>99682</v>
      </c>
      <c r="K345" s="18">
        <f t="shared" si="352"/>
        <v>96692</v>
      </c>
      <c r="L345" s="18">
        <f t="shared" ref="L345:O345" si="378">ROUND($I345*L$2,0)</f>
        <v>116030</v>
      </c>
      <c r="M345" s="19">
        <v>0.99682</v>
      </c>
      <c r="N345" s="18">
        <f t="shared" si="378"/>
        <v>29007</v>
      </c>
      <c r="O345" s="18">
        <f t="shared" si="378"/>
        <v>2900745</v>
      </c>
      <c r="P345" s="18">
        <f t="shared" si="354"/>
        <v>1740.45</v>
      </c>
      <c r="Q345" s="18">
        <f t="shared" si="355"/>
        <v>9636</v>
      </c>
      <c r="R345" s="16" t="s">
        <v>859</v>
      </c>
      <c r="S345" s="4">
        <f t="shared" si="356"/>
        <v>160050070</v>
      </c>
      <c r="W345" s="4"/>
      <c r="X345" s="4"/>
      <c r="AD345" s="4" t="s">
        <v>860</v>
      </c>
      <c r="AE345" s="4">
        <v>160050049</v>
      </c>
    </row>
    <row r="346" s="2" customFormat="1" spans="1:31">
      <c r="A346" s="4">
        <v>344</v>
      </c>
      <c r="B346" s="31" t="s">
        <v>861</v>
      </c>
      <c r="C346" s="13" t="s">
        <v>714</v>
      </c>
      <c r="D346" s="22" t="s">
        <v>41</v>
      </c>
      <c r="E346" s="13">
        <v>50</v>
      </c>
      <c r="F346" s="31">
        <v>2</v>
      </c>
      <c r="G346" s="31">
        <v>1</v>
      </c>
      <c r="H346" s="6">
        <f t="shared" si="350"/>
        <v>0.97</v>
      </c>
      <c r="I346" s="4">
        <f t="shared" si="351"/>
        <v>192958</v>
      </c>
      <c r="J346" s="13">
        <f>ROUND(VLOOKUP(D346,[1]物品容器!$T$3:$U$8,2,FALSE)*M346,0)</f>
        <v>99463</v>
      </c>
      <c r="K346" s="18">
        <f t="shared" si="352"/>
        <v>96479</v>
      </c>
      <c r="L346" s="18">
        <f t="shared" ref="L346:O346" si="379">ROUND($I346*L$2,0)</f>
        <v>115775</v>
      </c>
      <c r="M346" s="19">
        <v>0.99463</v>
      </c>
      <c r="N346" s="18">
        <f t="shared" si="379"/>
        <v>28944</v>
      </c>
      <c r="O346" s="18">
        <f t="shared" si="379"/>
        <v>2894370</v>
      </c>
      <c r="P346" s="18">
        <f t="shared" si="354"/>
        <v>1736.625</v>
      </c>
      <c r="Q346" s="18">
        <f t="shared" si="355"/>
        <v>9615</v>
      </c>
      <c r="R346" s="16" t="s">
        <v>862</v>
      </c>
      <c r="S346" s="4">
        <f t="shared" si="356"/>
        <v>160050071</v>
      </c>
      <c r="W346" s="4"/>
      <c r="X346" s="4"/>
      <c r="AD346" s="4" t="s">
        <v>863</v>
      </c>
      <c r="AE346" s="4">
        <v>160050050</v>
      </c>
    </row>
    <row r="347" s="2" customFormat="1" spans="1:31">
      <c r="A347" s="4">
        <v>345</v>
      </c>
      <c r="B347" s="31" t="s">
        <v>864</v>
      </c>
      <c r="C347" s="13" t="s">
        <v>714</v>
      </c>
      <c r="D347" s="22" t="s">
        <v>41</v>
      </c>
      <c r="E347" s="13">
        <v>51</v>
      </c>
      <c r="F347" s="31">
        <v>1</v>
      </c>
      <c r="G347" s="31">
        <v>2</v>
      </c>
      <c r="H347" s="6">
        <f t="shared" si="350"/>
        <v>0.97</v>
      </c>
      <c r="I347" s="4">
        <f t="shared" si="351"/>
        <v>193713</v>
      </c>
      <c r="J347" s="13">
        <f>ROUND(VLOOKUP(D347,[1]物品容器!$T$3:$U$8,2,FALSE)*M347,0)</f>
        <v>99852</v>
      </c>
      <c r="K347" s="18">
        <f t="shared" si="352"/>
        <v>96856</v>
      </c>
      <c r="L347" s="18">
        <f t="shared" ref="L347:O347" si="380">ROUND($I347*L$2,0)</f>
        <v>116228</v>
      </c>
      <c r="M347" s="19">
        <v>0.99852</v>
      </c>
      <c r="N347" s="18">
        <f t="shared" si="380"/>
        <v>29057</v>
      </c>
      <c r="O347" s="18">
        <f t="shared" si="380"/>
        <v>2905695</v>
      </c>
      <c r="P347" s="18">
        <f t="shared" si="354"/>
        <v>1743.42</v>
      </c>
      <c r="Q347" s="18">
        <f t="shared" si="355"/>
        <v>9652</v>
      </c>
      <c r="R347" s="16" t="s">
        <v>865</v>
      </c>
      <c r="S347" s="4">
        <f t="shared" si="356"/>
        <v>160050072</v>
      </c>
      <c r="W347" s="4"/>
      <c r="X347" s="4"/>
      <c r="AD347" s="4" t="s">
        <v>866</v>
      </c>
      <c r="AE347" s="4">
        <v>160050051</v>
      </c>
    </row>
    <row r="348" s="2" customFormat="1" spans="1:31">
      <c r="A348" s="4">
        <v>346</v>
      </c>
      <c r="B348" s="31" t="s">
        <v>867</v>
      </c>
      <c r="C348" s="13" t="s">
        <v>714</v>
      </c>
      <c r="D348" s="22" t="s">
        <v>41</v>
      </c>
      <c r="E348" s="13">
        <v>52</v>
      </c>
      <c r="F348" s="31">
        <v>3</v>
      </c>
      <c r="G348" s="31">
        <v>2</v>
      </c>
      <c r="H348" s="6">
        <f t="shared" si="350"/>
        <v>0.88</v>
      </c>
      <c r="I348" s="4">
        <f t="shared" si="351"/>
        <v>529980</v>
      </c>
      <c r="J348" s="13">
        <f>ROUND(VLOOKUP(D348,[1]物品容器!$T$3:$U$8,2,FALSE)*M348,0)</f>
        <v>100375</v>
      </c>
      <c r="K348" s="18">
        <f t="shared" si="352"/>
        <v>88330</v>
      </c>
      <c r="L348" s="18">
        <f t="shared" ref="L348:O348" si="381">ROUND($I348*L$2,0)</f>
        <v>317988</v>
      </c>
      <c r="M348" s="19">
        <v>1.00375</v>
      </c>
      <c r="N348" s="18">
        <f t="shared" si="381"/>
        <v>79497</v>
      </c>
      <c r="O348" s="18">
        <f t="shared" si="381"/>
        <v>7949700</v>
      </c>
      <c r="P348" s="18">
        <f t="shared" si="354"/>
        <v>4769.82</v>
      </c>
      <c r="Q348" s="18">
        <f t="shared" si="355"/>
        <v>26408</v>
      </c>
      <c r="R348" s="16" t="s">
        <v>868</v>
      </c>
      <c r="S348" s="4">
        <f t="shared" si="356"/>
        <v>160050073</v>
      </c>
      <c r="W348" s="4"/>
      <c r="X348" s="4"/>
      <c r="AD348" s="4" t="s">
        <v>869</v>
      </c>
      <c r="AE348" s="4">
        <v>160050052</v>
      </c>
    </row>
    <row r="349" s="2" customFormat="1" spans="1:31">
      <c r="A349" s="4">
        <v>347</v>
      </c>
      <c r="B349" s="31" t="s">
        <v>870</v>
      </c>
      <c r="C349" s="13" t="s">
        <v>714</v>
      </c>
      <c r="D349" s="22" t="s">
        <v>41</v>
      </c>
      <c r="E349" s="13">
        <v>53</v>
      </c>
      <c r="F349" s="31">
        <v>1</v>
      </c>
      <c r="G349" s="31">
        <v>1</v>
      </c>
      <c r="H349" s="6">
        <f t="shared" si="350"/>
        <v>1</v>
      </c>
      <c r="I349" s="4">
        <f t="shared" si="351"/>
        <v>99112</v>
      </c>
      <c r="J349" s="13">
        <f>ROUND(VLOOKUP(D349,[1]物品容器!$T$3:$U$8,2,FALSE)*M349,0)</f>
        <v>99112</v>
      </c>
      <c r="K349" s="18">
        <f t="shared" si="352"/>
        <v>99112</v>
      </c>
      <c r="L349" s="18">
        <f t="shared" ref="L349:O349" si="382">ROUND($I349*L$2,0)</f>
        <v>59467</v>
      </c>
      <c r="M349" s="19">
        <v>0.99112</v>
      </c>
      <c r="N349" s="18">
        <f t="shared" si="382"/>
        <v>14867</v>
      </c>
      <c r="O349" s="18">
        <f t="shared" si="382"/>
        <v>1486680</v>
      </c>
      <c r="P349" s="18">
        <f t="shared" si="354"/>
        <v>892.005</v>
      </c>
      <c r="Q349" s="18">
        <f t="shared" si="355"/>
        <v>4939</v>
      </c>
      <c r="R349" s="16" t="s">
        <v>871</v>
      </c>
      <c r="S349" s="4">
        <f t="shared" si="356"/>
        <v>160050074</v>
      </c>
      <c r="W349" s="4"/>
      <c r="X349" s="4"/>
      <c r="AD349" s="4" t="s">
        <v>872</v>
      </c>
      <c r="AE349" s="4">
        <v>160050053</v>
      </c>
    </row>
    <row r="350" s="2" customFormat="1" spans="1:31">
      <c r="A350" s="4">
        <v>348</v>
      </c>
      <c r="B350" s="31" t="s">
        <v>873</v>
      </c>
      <c r="C350" s="13" t="s">
        <v>714</v>
      </c>
      <c r="D350" s="22" t="s">
        <v>41</v>
      </c>
      <c r="E350" s="13">
        <v>54</v>
      </c>
      <c r="F350" s="31">
        <v>1</v>
      </c>
      <c r="G350" s="31">
        <v>2</v>
      </c>
      <c r="H350" s="6">
        <f t="shared" si="350"/>
        <v>0.97</v>
      </c>
      <c r="I350" s="4">
        <f t="shared" si="351"/>
        <v>192506</v>
      </c>
      <c r="J350" s="13">
        <f>ROUND(VLOOKUP(D350,[1]物品容器!$T$3:$U$8,2,FALSE)*M350,0)</f>
        <v>99230</v>
      </c>
      <c r="K350" s="18">
        <f t="shared" si="352"/>
        <v>96253</v>
      </c>
      <c r="L350" s="18">
        <f t="shared" ref="L350:O350" si="383">ROUND($I350*L$2,0)</f>
        <v>115504</v>
      </c>
      <c r="M350" s="19">
        <v>0.9923</v>
      </c>
      <c r="N350" s="18">
        <f t="shared" si="383"/>
        <v>28876</v>
      </c>
      <c r="O350" s="18">
        <f t="shared" si="383"/>
        <v>2887590</v>
      </c>
      <c r="P350" s="18">
        <f t="shared" si="354"/>
        <v>1732.56</v>
      </c>
      <c r="Q350" s="18">
        <f t="shared" si="355"/>
        <v>9592</v>
      </c>
      <c r="R350" s="16" t="s">
        <v>874</v>
      </c>
      <c r="S350" s="4">
        <f t="shared" si="356"/>
        <v>160050075</v>
      </c>
      <c r="W350" s="4"/>
      <c r="X350" s="4"/>
      <c r="AD350" s="4" t="s">
        <v>875</v>
      </c>
      <c r="AE350" s="4">
        <v>160050054</v>
      </c>
    </row>
    <row r="351" s="2" customFormat="1" spans="1:31">
      <c r="A351" s="4">
        <v>349</v>
      </c>
      <c r="B351" s="31" t="s">
        <v>876</v>
      </c>
      <c r="C351" s="13" t="s">
        <v>714</v>
      </c>
      <c r="D351" s="22" t="s">
        <v>41</v>
      </c>
      <c r="E351" s="13">
        <v>55</v>
      </c>
      <c r="F351" s="31">
        <v>1</v>
      </c>
      <c r="G351" s="31">
        <v>1</v>
      </c>
      <c r="H351" s="6">
        <f t="shared" si="350"/>
        <v>1</v>
      </c>
      <c r="I351" s="4">
        <f t="shared" si="351"/>
        <v>100951</v>
      </c>
      <c r="J351" s="13">
        <f>ROUND(VLOOKUP(D351,[1]物品容器!$T$3:$U$8,2,FALSE)*M351,0)</f>
        <v>100951</v>
      </c>
      <c r="K351" s="18">
        <f t="shared" si="352"/>
        <v>100951</v>
      </c>
      <c r="L351" s="18">
        <f t="shared" ref="L351:O351" si="384">ROUND($I351*L$2,0)</f>
        <v>60571</v>
      </c>
      <c r="M351" s="19">
        <v>1.00951</v>
      </c>
      <c r="N351" s="18">
        <f t="shared" si="384"/>
        <v>15143</v>
      </c>
      <c r="O351" s="18">
        <f t="shared" si="384"/>
        <v>1514265</v>
      </c>
      <c r="P351" s="18">
        <f t="shared" si="354"/>
        <v>908.565</v>
      </c>
      <c r="Q351" s="18">
        <f t="shared" si="355"/>
        <v>5030</v>
      </c>
      <c r="R351" s="16" t="s">
        <v>877</v>
      </c>
      <c r="S351" s="4">
        <f t="shared" si="356"/>
        <v>160050076</v>
      </c>
      <c r="W351" s="4"/>
      <c r="X351" s="4"/>
      <c r="AD351" s="4" t="s">
        <v>855</v>
      </c>
      <c r="AE351" s="4">
        <v>160050055</v>
      </c>
    </row>
    <row r="352" s="2" customFormat="1" spans="1:31">
      <c r="A352" s="4">
        <v>350</v>
      </c>
      <c r="B352" s="31" t="s">
        <v>878</v>
      </c>
      <c r="C352" s="13" t="s">
        <v>714</v>
      </c>
      <c r="D352" s="22" t="s">
        <v>41</v>
      </c>
      <c r="E352" s="13">
        <v>56</v>
      </c>
      <c r="F352" s="31">
        <v>1</v>
      </c>
      <c r="G352" s="31">
        <v>1</v>
      </c>
      <c r="H352" s="6">
        <f t="shared" si="350"/>
        <v>1</v>
      </c>
      <c r="I352" s="4">
        <f t="shared" si="351"/>
        <v>99715</v>
      </c>
      <c r="J352" s="13">
        <f>ROUND(VLOOKUP(D352,[1]物品容器!$T$3:$U$8,2,FALSE)*M352,0)</f>
        <v>99715</v>
      </c>
      <c r="K352" s="18">
        <f t="shared" si="352"/>
        <v>99715</v>
      </c>
      <c r="L352" s="18">
        <f t="shared" ref="L352:O352" si="385">ROUND($I352*L$2,0)</f>
        <v>59829</v>
      </c>
      <c r="M352" s="19">
        <v>0.99715</v>
      </c>
      <c r="N352" s="18">
        <f t="shared" si="385"/>
        <v>14957</v>
      </c>
      <c r="O352" s="18">
        <f t="shared" si="385"/>
        <v>1495725</v>
      </c>
      <c r="P352" s="18">
        <f t="shared" si="354"/>
        <v>897.435</v>
      </c>
      <c r="Q352" s="18">
        <f t="shared" si="355"/>
        <v>4969</v>
      </c>
      <c r="R352" s="16" t="s">
        <v>879</v>
      </c>
      <c r="S352" s="4">
        <f t="shared" si="356"/>
        <v>160050077</v>
      </c>
      <c r="W352" s="4"/>
      <c r="X352" s="4"/>
      <c r="AD352" s="4" t="s">
        <v>880</v>
      </c>
      <c r="AE352" s="4">
        <v>160050056</v>
      </c>
    </row>
    <row r="353" s="2" customFormat="1" spans="1:31">
      <c r="A353" s="4">
        <v>351</v>
      </c>
      <c r="B353" s="31" t="s">
        <v>881</v>
      </c>
      <c r="C353" s="13" t="s">
        <v>714</v>
      </c>
      <c r="D353" s="22" t="s">
        <v>41</v>
      </c>
      <c r="E353" s="13">
        <v>57</v>
      </c>
      <c r="F353" s="31">
        <v>1</v>
      </c>
      <c r="G353" s="31">
        <v>1</v>
      </c>
      <c r="H353" s="6">
        <f t="shared" si="350"/>
        <v>1</v>
      </c>
      <c r="I353" s="4">
        <f t="shared" si="351"/>
        <v>99766</v>
      </c>
      <c r="J353" s="13">
        <f>ROUND(VLOOKUP(D353,[1]物品容器!$T$3:$U$8,2,FALSE)*M353,0)</f>
        <v>99766</v>
      </c>
      <c r="K353" s="18">
        <f t="shared" si="352"/>
        <v>99766</v>
      </c>
      <c r="L353" s="18">
        <f t="shared" ref="L353:O353" si="386">ROUND($I353*L$2,0)</f>
        <v>59860</v>
      </c>
      <c r="M353" s="19">
        <v>0.99766</v>
      </c>
      <c r="N353" s="18">
        <f t="shared" si="386"/>
        <v>14965</v>
      </c>
      <c r="O353" s="18">
        <f t="shared" si="386"/>
        <v>1496490</v>
      </c>
      <c r="P353" s="18">
        <f t="shared" si="354"/>
        <v>897.9</v>
      </c>
      <c r="Q353" s="18">
        <f t="shared" si="355"/>
        <v>4971</v>
      </c>
      <c r="R353" s="16" t="s">
        <v>882</v>
      </c>
      <c r="S353" s="4">
        <f t="shared" si="356"/>
        <v>160050078</v>
      </c>
      <c r="W353" s="4"/>
      <c r="X353" s="4"/>
      <c r="AD353" s="4" t="s">
        <v>883</v>
      </c>
      <c r="AE353" s="4">
        <v>160050057</v>
      </c>
    </row>
    <row r="354" s="2" customFormat="1" spans="1:31">
      <c r="A354" s="4">
        <v>352</v>
      </c>
      <c r="B354" s="31" t="s">
        <v>884</v>
      </c>
      <c r="C354" s="13" t="s">
        <v>714</v>
      </c>
      <c r="D354" s="22" t="s">
        <v>41</v>
      </c>
      <c r="E354" s="13">
        <v>58</v>
      </c>
      <c r="F354" s="31">
        <v>2</v>
      </c>
      <c r="G354" s="31">
        <v>2</v>
      </c>
      <c r="H354" s="6">
        <f t="shared" si="350"/>
        <v>0.91</v>
      </c>
      <c r="I354" s="4">
        <f t="shared" si="351"/>
        <v>364462</v>
      </c>
      <c r="J354" s="13">
        <f>ROUND(VLOOKUP(D354,[1]物品容器!$T$3:$U$8,2,FALSE)*M354,0)</f>
        <v>100127</v>
      </c>
      <c r="K354" s="18">
        <f t="shared" si="352"/>
        <v>91116</v>
      </c>
      <c r="L354" s="18">
        <f t="shared" ref="L354:O354" si="387">ROUND($I354*L$2,0)</f>
        <v>218677</v>
      </c>
      <c r="M354" s="19">
        <v>1.00127</v>
      </c>
      <c r="N354" s="18">
        <f t="shared" si="387"/>
        <v>54669</v>
      </c>
      <c r="O354" s="18">
        <f t="shared" si="387"/>
        <v>5466930</v>
      </c>
      <c r="P354" s="18">
        <f t="shared" si="354"/>
        <v>3280.155</v>
      </c>
      <c r="Q354" s="18">
        <f t="shared" si="355"/>
        <v>18161</v>
      </c>
      <c r="R354" s="16" t="s">
        <v>885</v>
      </c>
      <c r="S354" s="4">
        <f t="shared" si="356"/>
        <v>160050079</v>
      </c>
      <c r="W354" s="4"/>
      <c r="X354" s="4"/>
      <c r="AD354" s="4" t="s">
        <v>886</v>
      </c>
      <c r="AE354" s="4">
        <v>160050058</v>
      </c>
    </row>
    <row r="355" s="2" customFormat="1" spans="1:31">
      <c r="A355" s="4">
        <v>353</v>
      </c>
      <c r="B355" s="31" t="s">
        <v>887</v>
      </c>
      <c r="C355" s="13" t="s">
        <v>714</v>
      </c>
      <c r="D355" s="22" t="s">
        <v>41</v>
      </c>
      <c r="E355" s="13">
        <v>59</v>
      </c>
      <c r="F355" s="31">
        <v>1</v>
      </c>
      <c r="G355" s="31">
        <v>2</v>
      </c>
      <c r="H355" s="6">
        <f t="shared" si="350"/>
        <v>0.97</v>
      </c>
      <c r="I355" s="4">
        <f t="shared" si="351"/>
        <v>192301</v>
      </c>
      <c r="J355" s="13">
        <f>ROUND(VLOOKUP(D355,[1]物品容器!$T$3:$U$8,2,FALSE)*M355,0)</f>
        <v>99124</v>
      </c>
      <c r="K355" s="18">
        <f t="shared" si="352"/>
        <v>96150</v>
      </c>
      <c r="L355" s="18">
        <f t="shared" ref="L355:O355" si="388">ROUND($I355*L$2,0)</f>
        <v>115381</v>
      </c>
      <c r="M355" s="19">
        <v>0.99124</v>
      </c>
      <c r="N355" s="18">
        <f t="shared" si="388"/>
        <v>28845</v>
      </c>
      <c r="O355" s="18">
        <f t="shared" si="388"/>
        <v>2884515</v>
      </c>
      <c r="P355" s="18">
        <f t="shared" si="354"/>
        <v>1730.715</v>
      </c>
      <c r="Q355" s="18">
        <f t="shared" si="355"/>
        <v>9582</v>
      </c>
      <c r="R355" s="16" t="s">
        <v>888</v>
      </c>
      <c r="S355" s="4">
        <f t="shared" si="356"/>
        <v>160050080</v>
      </c>
      <c r="W355" s="4"/>
      <c r="X355" s="4"/>
      <c r="AD355" s="4" t="s">
        <v>889</v>
      </c>
      <c r="AE355" s="4">
        <v>160050059</v>
      </c>
    </row>
    <row r="356" s="2" customFormat="1" spans="1:31">
      <c r="A356" s="4">
        <v>354</v>
      </c>
      <c r="B356" s="31" t="s">
        <v>890</v>
      </c>
      <c r="C356" s="13" t="s">
        <v>714</v>
      </c>
      <c r="D356" s="22" t="s">
        <v>41</v>
      </c>
      <c r="E356" s="13">
        <v>60</v>
      </c>
      <c r="F356" s="31">
        <v>1</v>
      </c>
      <c r="G356" s="31">
        <v>2</v>
      </c>
      <c r="H356" s="6">
        <f t="shared" si="350"/>
        <v>0.97</v>
      </c>
      <c r="I356" s="4">
        <f t="shared" si="351"/>
        <v>195108</v>
      </c>
      <c r="J356" s="13">
        <f>ROUND(VLOOKUP(D356,[1]物品容器!$T$3:$U$8,2,FALSE)*M356,0)</f>
        <v>100571</v>
      </c>
      <c r="K356" s="18">
        <f t="shared" si="352"/>
        <v>97554</v>
      </c>
      <c r="L356" s="18">
        <f t="shared" ref="L356:O356" si="389">ROUND($I356*L$2,0)</f>
        <v>117065</v>
      </c>
      <c r="M356" s="19">
        <v>1.00571</v>
      </c>
      <c r="N356" s="18">
        <f t="shared" si="389"/>
        <v>29266</v>
      </c>
      <c r="O356" s="18">
        <f t="shared" si="389"/>
        <v>2926620</v>
      </c>
      <c r="P356" s="18">
        <f t="shared" si="354"/>
        <v>1755.975</v>
      </c>
      <c r="Q356" s="18">
        <f t="shared" si="355"/>
        <v>9722</v>
      </c>
      <c r="R356" s="16" t="s">
        <v>891</v>
      </c>
      <c r="S356" s="4">
        <f t="shared" si="356"/>
        <v>160050081</v>
      </c>
      <c r="W356" s="4"/>
      <c r="X356" s="4"/>
      <c r="AD356" s="4" t="s">
        <v>840</v>
      </c>
      <c r="AE356" s="4">
        <v>160050060</v>
      </c>
    </row>
    <row r="357" s="2" customFormat="1" spans="1:31">
      <c r="A357" s="4">
        <v>355</v>
      </c>
      <c r="B357" s="31" t="s">
        <v>892</v>
      </c>
      <c r="C357" s="13" t="s">
        <v>714</v>
      </c>
      <c r="D357" s="22" t="s">
        <v>41</v>
      </c>
      <c r="E357" s="13">
        <v>61</v>
      </c>
      <c r="F357" s="23">
        <v>2</v>
      </c>
      <c r="G357" s="31">
        <v>1</v>
      </c>
      <c r="H357" s="6">
        <f t="shared" si="350"/>
        <v>0.97</v>
      </c>
      <c r="I357" s="4">
        <f t="shared" si="351"/>
        <v>195878</v>
      </c>
      <c r="J357" s="13">
        <f>ROUND(VLOOKUP(D357,[1]物品容器!$T$3:$U$8,2,FALSE)*M357,0)</f>
        <v>100968</v>
      </c>
      <c r="K357" s="18">
        <f t="shared" si="352"/>
        <v>97939</v>
      </c>
      <c r="L357" s="18">
        <f t="shared" ref="L357:O357" si="390">ROUND($I357*L$2,0)</f>
        <v>117527</v>
      </c>
      <c r="M357" s="19">
        <v>1.00968</v>
      </c>
      <c r="N357" s="18">
        <f t="shared" si="390"/>
        <v>29382</v>
      </c>
      <c r="O357" s="18">
        <f t="shared" si="390"/>
        <v>2938170</v>
      </c>
      <c r="P357" s="18">
        <f t="shared" si="354"/>
        <v>1762.905</v>
      </c>
      <c r="Q357" s="18">
        <f t="shared" si="355"/>
        <v>9760</v>
      </c>
      <c r="R357" s="16" t="s">
        <v>893</v>
      </c>
      <c r="S357" s="4">
        <f t="shared" si="356"/>
        <v>160050082</v>
      </c>
      <c r="W357" s="4"/>
      <c r="X357" s="4"/>
      <c r="AD357" s="4" t="s">
        <v>846</v>
      </c>
      <c r="AE357" s="4">
        <v>160050061</v>
      </c>
    </row>
    <row r="358" s="2" customFormat="1" spans="1:31">
      <c r="A358" s="4">
        <v>356</v>
      </c>
      <c r="B358" s="31" t="s">
        <v>880</v>
      </c>
      <c r="C358" s="13" t="s">
        <v>714</v>
      </c>
      <c r="D358" s="22" t="s">
        <v>41</v>
      </c>
      <c r="E358" s="13">
        <v>62</v>
      </c>
      <c r="F358" s="31">
        <v>1</v>
      </c>
      <c r="G358" s="23">
        <v>1</v>
      </c>
      <c r="H358" s="6">
        <f t="shared" si="350"/>
        <v>1</v>
      </c>
      <c r="I358" s="4">
        <f t="shared" si="351"/>
        <v>100699</v>
      </c>
      <c r="J358" s="13">
        <f>ROUND(VLOOKUP(D358,[1]物品容器!$T$3:$U$8,2,FALSE)*M358,0)</f>
        <v>100699</v>
      </c>
      <c r="K358" s="18">
        <f t="shared" si="352"/>
        <v>100699</v>
      </c>
      <c r="L358" s="18">
        <f t="shared" ref="L358:O358" si="391">ROUND($I358*L$2,0)</f>
        <v>60419</v>
      </c>
      <c r="M358" s="19">
        <v>1.00699</v>
      </c>
      <c r="N358" s="18">
        <f t="shared" si="391"/>
        <v>15105</v>
      </c>
      <c r="O358" s="18">
        <f t="shared" si="391"/>
        <v>1510485</v>
      </c>
      <c r="P358" s="18">
        <f t="shared" si="354"/>
        <v>906.285</v>
      </c>
      <c r="Q358" s="18">
        <f t="shared" si="355"/>
        <v>5018</v>
      </c>
      <c r="R358" s="2" t="s">
        <v>894</v>
      </c>
      <c r="S358" s="4">
        <f t="shared" si="356"/>
        <v>160050056</v>
      </c>
      <c r="W358" s="4"/>
      <c r="X358" s="4"/>
      <c r="AD358" s="4" t="s">
        <v>895</v>
      </c>
      <c r="AE358" s="4">
        <v>160050062</v>
      </c>
    </row>
    <row r="359" s="2" customFormat="1" spans="1:31">
      <c r="A359" s="4">
        <v>357</v>
      </c>
      <c r="B359" s="31" t="s">
        <v>896</v>
      </c>
      <c r="C359" s="13" t="s">
        <v>714</v>
      </c>
      <c r="D359" s="22" t="s">
        <v>41</v>
      </c>
      <c r="E359" s="13">
        <v>63</v>
      </c>
      <c r="F359" s="31">
        <v>1</v>
      </c>
      <c r="G359" s="31">
        <v>1</v>
      </c>
      <c r="H359" s="6">
        <f t="shared" si="350"/>
        <v>1</v>
      </c>
      <c r="I359" s="4">
        <f t="shared" si="351"/>
        <v>99162</v>
      </c>
      <c r="J359" s="13">
        <f>ROUND(VLOOKUP(D359,[1]物品容器!$T$3:$U$8,2,FALSE)*M359,0)</f>
        <v>99162</v>
      </c>
      <c r="K359" s="18">
        <f t="shared" si="352"/>
        <v>99162</v>
      </c>
      <c r="L359" s="18">
        <f t="shared" ref="L359:O359" si="392">ROUND($I359*L$2,0)</f>
        <v>59497</v>
      </c>
      <c r="M359" s="19">
        <v>0.99162</v>
      </c>
      <c r="N359" s="18">
        <f t="shared" si="392"/>
        <v>14874</v>
      </c>
      <c r="O359" s="18">
        <f t="shared" si="392"/>
        <v>1487430</v>
      </c>
      <c r="P359" s="18">
        <f t="shared" si="354"/>
        <v>892.455</v>
      </c>
      <c r="Q359" s="18">
        <f t="shared" si="355"/>
        <v>4941</v>
      </c>
      <c r="R359" s="16" t="s">
        <v>897</v>
      </c>
      <c r="S359" s="4">
        <f t="shared" si="356"/>
        <v>160050083</v>
      </c>
      <c r="W359" s="4"/>
      <c r="X359" s="4"/>
      <c r="AD359" s="4" t="s">
        <v>898</v>
      </c>
      <c r="AE359" s="4">
        <v>160050063</v>
      </c>
    </row>
    <row r="360" s="2" customFormat="1" spans="1:31">
      <c r="A360" s="4">
        <v>358</v>
      </c>
      <c r="B360" s="31" t="s">
        <v>883</v>
      </c>
      <c r="C360" s="13" t="s">
        <v>714</v>
      </c>
      <c r="D360" s="22" t="s">
        <v>41</v>
      </c>
      <c r="E360" s="13">
        <v>64</v>
      </c>
      <c r="F360" s="23">
        <v>2</v>
      </c>
      <c r="G360" s="31">
        <v>2</v>
      </c>
      <c r="H360" s="6">
        <f t="shared" si="350"/>
        <v>0.91</v>
      </c>
      <c r="I360" s="4">
        <f t="shared" si="351"/>
        <v>363734</v>
      </c>
      <c r="J360" s="13">
        <f>ROUND(VLOOKUP(D360,[1]物品容器!$T$3:$U$8,2,FALSE)*M360,0)</f>
        <v>99927</v>
      </c>
      <c r="K360" s="18">
        <f t="shared" si="352"/>
        <v>90934</v>
      </c>
      <c r="L360" s="18">
        <f t="shared" ref="L360:O360" si="393">ROUND($I360*L$2,0)</f>
        <v>218240</v>
      </c>
      <c r="M360" s="19">
        <v>0.99927</v>
      </c>
      <c r="N360" s="18">
        <f t="shared" si="393"/>
        <v>54560</v>
      </c>
      <c r="O360" s="18">
        <f t="shared" si="393"/>
        <v>5456010</v>
      </c>
      <c r="P360" s="18">
        <f t="shared" si="354"/>
        <v>3273.6</v>
      </c>
      <c r="Q360" s="18">
        <f t="shared" si="355"/>
        <v>18124</v>
      </c>
      <c r="R360" s="2" t="s">
        <v>899</v>
      </c>
      <c r="S360" s="4">
        <f t="shared" si="356"/>
        <v>160050057</v>
      </c>
      <c r="W360" s="4"/>
      <c r="X360" s="4"/>
      <c r="AD360" s="4" t="s">
        <v>900</v>
      </c>
      <c r="AE360" s="4">
        <v>160050064</v>
      </c>
    </row>
    <row r="361" s="2" customFormat="1" spans="1:31">
      <c r="A361" s="4">
        <v>359</v>
      </c>
      <c r="B361" s="31" t="s">
        <v>886</v>
      </c>
      <c r="C361" s="13" t="s">
        <v>714</v>
      </c>
      <c r="D361" s="22" t="s">
        <v>41</v>
      </c>
      <c r="E361" s="13">
        <v>65</v>
      </c>
      <c r="F361" s="31">
        <v>1</v>
      </c>
      <c r="G361" s="31">
        <v>1</v>
      </c>
      <c r="H361" s="6">
        <f t="shared" si="350"/>
        <v>1</v>
      </c>
      <c r="I361" s="4">
        <f t="shared" si="351"/>
        <v>100488</v>
      </c>
      <c r="J361" s="13">
        <f>ROUND(VLOOKUP(D361,[1]物品容器!$T$3:$U$8,2,FALSE)*M361,0)</f>
        <v>100488</v>
      </c>
      <c r="K361" s="18">
        <f t="shared" si="352"/>
        <v>100488</v>
      </c>
      <c r="L361" s="18">
        <f t="shared" ref="L361:O361" si="394">ROUND($I361*L$2,0)</f>
        <v>60293</v>
      </c>
      <c r="M361" s="19">
        <v>1.00488</v>
      </c>
      <c r="N361" s="18">
        <f t="shared" si="394"/>
        <v>15073</v>
      </c>
      <c r="O361" s="18">
        <f t="shared" si="394"/>
        <v>1507320</v>
      </c>
      <c r="P361" s="18">
        <f t="shared" si="354"/>
        <v>904.395</v>
      </c>
      <c r="Q361" s="18">
        <f t="shared" si="355"/>
        <v>5007</v>
      </c>
      <c r="R361" s="2" t="s">
        <v>901</v>
      </c>
      <c r="S361" s="4">
        <f t="shared" si="356"/>
        <v>160050058</v>
      </c>
      <c r="W361" s="4"/>
      <c r="X361" s="4"/>
      <c r="AD361" s="4" t="s">
        <v>834</v>
      </c>
      <c r="AE361" s="4">
        <v>160050065</v>
      </c>
    </row>
    <row r="362" s="2" customFormat="1" spans="1:31">
      <c r="A362" s="4">
        <v>360</v>
      </c>
      <c r="B362" s="31" t="s">
        <v>902</v>
      </c>
      <c r="C362" s="13" t="s">
        <v>714</v>
      </c>
      <c r="D362" s="22" t="s">
        <v>41</v>
      </c>
      <c r="E362" s="13">
        <v>66</v>
      </c>
      <c r="F362" s="31">
        <v>1</v>
      </c>
      <c r="G362" s="31">
        <v>1</v>
      </c>
      <c r="H362" s="6">
        <f t="shared" si="350"/>
        <v>1</v>
      </c>
      <c r="I362" s="4">
        <f t="shared" si="351"/>
        <v>100695</v>
      </c>
      <c r="J362" s="13">
        <f>ROUND(VLOOKUP(D362,[1]物品容器!$T$3:$U$8,2,FALSE)*M362,0)</f>
        <v>100695</v>
      </c>
      <c r="K362" s="18">
        <f t="shared" si="352"/>
        <v>100695</v>
      </c>
      <c r="L362" s="18">
        <f t="shared" ref="L362:O362" si="395">ROUND($I362*L$2,0)</f>
        <v>60417</v>
      </c>
      <c r="M362" s="19">
        <v>1.00695</v>
      </c>
      <c r="N362" s="18">
        <f t="shared" si="395"/>
        <v>15104</v>
      </c>
      <c r="O362" s="18">
        <f t="shared" si="395"/>
        <v>1510425</v>
      </c>
      <c r="P362" s="18">
        <f t="shared" si="354"/>
        <v>906.255</v>
      </c>
      <c r="Q362" s="18">
        <f t="shared" si="355"/>
        <v>5018</v>
      </c>
      <c r="R362" s="16" t="s">
        <v>903</v>
      </c>
      <c r="S362" s="4">
        <f t="shared" si="356"/>
        <v>160050086</v>
      </c>
      <c r="W362" s="4"/>
      <c r="X362" s="4"/>
      <c r="AD362" s="4" t="s">
        <v>837</v>
      </c>
      <c r="AE362" s="4">
        <v>160050066</v>
      </c>
    </row>
    <row r="363" s="2" customFormat="1" spans="1:31">
      <c r="A363" s="4">
        <v>361</v>
      </c>
      <c r="B363" s="31" t="s">
        <v>904</v>
      </c>
      <c r="C363" s="13" t="s">
        <v>714</v>
      </c>
      <c r="D363" s="22" t="s">
        <v>41</v>
      </c>
      <c r="E363" s="13">
        <v>67</v>
      </c>
      <c r="F363" s="31">
        <v>1</v>
      </c>
      <c r="G363" s="31">
        <v>1</v>
      </c>
      <c r="H363" s="6">
        <f t="shared" si="350"/>
        <v>1</v>
      </c>
      <c r="I363" s="4">
        <f t="shared" si="351"/>
        <v>100188</v>
      </c>
      <c r="J363" s="13">
        <f>ROUND(VLOOKUP(D363,[1]物品容器!$T$3:$U$8,2,FALSE)*M363,0)</f>
        <v>100188</v>
      </c>
      <c r="K363" s="18">
        <f t="shared" si="352"/>
        <v>100188</v>
      </c>
      <c r="L363" s="18">
        <f t="shared" ref="L363:O363" si="396">ROUND($I363*L$2,0)</f>
        <v>60113</v>
      </c>
      <c r="M363" s="19">
        <v>1.00188</v>
      </c>
      <c r="N363" s="18">
        <f t="shared" si="396"/>
        <v>15028</v>
      </c>
      <c r="O363" s="18">
        <f t="shared" si="396"/>
        <v>1502820</v>
      </c>
      <c r="P363" s="18">
        <f t="shared" si="354"/>
        <v>901.695</v>
      </c>
      <c r="Q363" s="18">
        <f t="shared" si="355"/>
        <v>4992</v>
      </c>
      <c r="R363" s="16" t="s">
        <v>905</v>
      </c>
      <c r="S363" s="4">
        <f t="shared" si="356"/>
        <v>160050085</v>
      </c>
      <c r="W363" s="4"/>
      <c r="X363" s="4"/>
      <c r="AD363" s="4" t="s">
        <v>843</v>
      </c>
      <c r="AE363" s="4">
        <v>160050067</v>
      </c>
    </row>
    <row r="364" s="2" customFormat="1" spans="1:31">
      <c r="A364" s="4">
        <v>362</v>
      </c>
      <c r="B364" s="31" t="s">
        <v>889</v>
      </c>
      <c r="C364" s="13" t="s">
        <v>714</v>
      </c>
      <c r="D364" s="22" t="s">
        <v>41</v>
      </c>
      <c r="E364" s="13">
        <v>68</v>
      </c>
      <c r="F364" s="23">
        <v>2</v>
      </c>
      <c r="G364" s="23">
        <v>2</v>
      </c>
      <c r="H364" s="6">
        <f t="shared" si="350"/>
        <v>0.91</v>
      </c>
      <c r="I364" s="4">
        <f t="shared" si="351"/>
        <v>365587</v>
      </c>
      <c r="J364" s="13">
        <f>ROUND(VLOOKUP(D364,[1]物品容器!$T$3:$U$8,2,FALSE)*M364,0)</f>
        <v>100436</v>
      </c>
      <c r="K364" s="18">
        <f t="shared" si="352"/>
        <v>91397</v>
      </c>
      <c r="L364" s="18">
        <f t="shared" ref="L364:O364" si="397">ROUND($I364*L$2,0)</f>
        <v>219352</v>
      </c>
      <c r="M364" s="19">
        <v>1.00436</v>
      </c>
      <c r="N364" s="18">
        <f t="shared" si="397"/>
        <v>54838</v>
      </c>
      <c r="O364" s="18">
        <f t="shared" si="397"/>
        <v>5483805</v>
      </c>
      <c r="P364" s="18">
        <f t="shared" si="354"/>
        <v>3290.28</v>
      </c>
      <c r="Q364" s="18">
        <f t="shared" si="355"/>
        <v>18217</v>
      </c>
      <c r="R364" s="2" t="s">
        <v>906</v>
      </c>
      <c r="S364" s="4">
        <f t="shared" si="356"/>
        <v>160050059</v>
      </c>
      <c r="W364" s="4"/>
      <c r="X364" s="4"/>
      <c r="AD364" s="4" t="s">
        <v>849</v>
      </c>
      <c r="AE364" s="4">
        <v>160050068</v>
      </c>
    </row>
    <row r="365" s="2" customFormat="1" spans="1:31">
      <c r="A365" s="4">
        <v>363</v>
      </c>
      <c r="B365" s="31" t="s">
        <v>907</v>
      </c>
      <c r="C365" s="13" t="s">
        <v>714</v>
      </c>
      <c r="D365" s="22" t="s">
        <v>41</v>
      </c>
      <c r="E365" s="13">
        <v>69</v>
      </c>
      <c r="F365" s="31">
        <v>1</v>
      </c>
      <c r="G365" s="31">
        <v>2</v>
      </c>
      <c r="H365" s="6">
        <f t="shared" si="350"/>
        <v>0.97</v>
      </c>
      <c r="I365" s="4">
        <f t="shared" si="351"/>
        <v>195125</v>
      </c>
      <c r="J365" s="13">
        <f>ROUND(VLOOKUP(D365,[1]物品容器!$T$3:$U$8,2,FALSE)*M365,0)</f>
        <v>100580</v>
      </c>
      <c r="K365" s="18">
        <f t="shared" si="352"/>
        <v>97563</v>
      </c>
      <c r="L365" s="18">
        <f t="shared" ref="L365:O365" si="398">ROUND($I365*L$2,0)</f>
        <v>117075</v>
      </c>
      <c r="M365" s="19">
        <v>1.0058</v>
      </c>
      <c r="N365" s="18">
        <f t="shared" si="398"/>
        <v>29269</v>
      </c>
      <c r="O365" s="18">
        <f t="shared" si="398"/>
        <v>2926875</v>
      </c>
      <c r="P365" s="18">
        <f t="shared" si="354"/>
        <v>1756.125</v>
      </c>
      <c r="Q365" s="18">
        <f t="shared" si="355"/>
        <v>9723</v>
      </c>
      <c r="R365" s="16" t="s">
        <v>908</v>
      </c>
      <c r="S365" s="4">
        <f t="shared" si="356"/>
        <v>160050084</v>
      </c>
      <c r="W365" s="4"/>
      <c r="X365" s="4"/>
      <c r="AD365" s="4" t="s">
        <v>852</v>
      </c>
      <c r="AE365" s="4">
        <v>160050069</v>
      </c>
    </row>
    <row r="366" s="2" customFormat="1" spans="1:31">
      <c r="A366" s="4">
        <v>364</v>
      </c>
      <c r="B366" s="31" t="s">
        <v>909</v>
      </c>
      <c r="C366" s="13" t="s">
        <v>714</v>
      </c>
      <c r="D366" s="22" t="s">
        <v>41</v>
      </c>
      <c r="E366" s="13">
        <v>70</v>
      </c>
      <c r="F366" s="31">
        <v>1</v>
      </c>
      <c r="G366" s="31">
        <v>1</v>
      </c>
      <c r="H366" s="6">
        <f t="shared" si="350"/>
        <v>1</v>
      </c>
      <c r="I366" s="4">
        <f t="shared" si="351"/>
        <v>99680</v>
      </c>
      <c r="J366" s="13">
        <f>ROUND(VLOOKUP(D366,[1]物品容器!$T$3:$U$8,2,FALSE)*M366,0)</f>
        <v>99680</v>
      </c>
      <c r="K366" s="18">
        <f t="shared" si="352"/>
        <v>99680</v>
      </c>
      <c r="L366" s="18">
        <f t="shared" ref="L366:O366" si="399">ROUND($I366*L$2,0)</f>
        <v>59808</v>
      </c>
      <c r="M366" s="19">
        <v>0.9968</v>
      </c>
      <c r="N366" s="18">
        <f t="shared" si="399"/>
        <v>14952</v>
      </c>
      <c r="O366" s="18">
        <f t="shared" si="399"/>
        <v>1495200</v>
      </c>
      <c r="P366" s="18">
        <f t="shared" si="354"/>
        <v>897.12</v>
      </c>
      <c r="Q366" s="18">
        <f t="shared" si="355"/>
        <v>4967</v>
      </c>
      <c r="R366" s="16" t="s">
        <v>910</v>
      </c>
      <c r="S366" s="4">
        <f t="shared" si="356"/>
        <v>160050087</v>
      </c>
      <c r="W366" s="4"/>
      <c r="X366" s="4"/>
      <c r="AD366" s="4" t="s">
        <v>858</v>
      </c>
      <c r="AE366" s="4">
        <v>160050070</v>
      </c>
    </row>
    <row r="367" s="2" customFormat="1" spans="1:31">
      <c r="A367" s="4">
        <v>365</v>
      </c>
      <c r="B367" s="31" t="s">
        <v>895</v>
      </c>
      <c r="C367" s="13" t="s">
        <v>714</v>
      </c>
      <c r="D367" s="22" t="s">
        <v>41</v>
      </c>
      <c r="E367" s="13">
        <v>71</v>
      </c>
      <c r="F367" s="31">
        <v>1</v>
      </c>
      <c r="G367" s="31">
        <v>1</v>
      </c>
      <c r="H367" s="6">
        <f t="shared" si="350"/>
        <v>1</v>
      </c>
      <c r="I367" s="4">
        <f t="shared" si="351"/>
        <v>100250</v>
      </c>
      <c r="J367" s="13">
        <f>ROUND(VLOOKUP(D367,[1]物品容器!$T$3:$U$8,2,FALSE)*M367,0)</f>
        <v>100250</v>
      </c>
      <c r="K367" s="18">
        <f t="shared" si="352"/>
        <v>100250</v>
      </c>
      <c r="L367" s="18">
        <f t="shared" ref="L367:O367" si="400">ROUND($I367*L$2,0)</f>
        <v>60150</v>
      </c>
      <c r="M367" s="19">
        <v>1.0025</v>
      </c>
      <c r="N367" s="18">
        <f t="shared" si="400"/>
        <v>15038</v>
      </c>
      <c r="O367" s="18">
        <f t="shared" si="400"/>
        <v>1503750</v>
      </c>
      <c r="P367" s="18">
        <f t="shared" si="354"/>
        <v>902.25</v>
      </c>
      <c r="Q367" s="18">
        <f t="shared" si="355"/>
        <v>4995</v>
      </c>
      <c r="R367" s="2" t="s">
        <v>911</v>
      </c>
      <c r="S367" s="4">
        <f t="shared" si="356"/>
        <v>160050062</v>
      </c>
      <c r="W367" s="4"/>
      <c r="X367" s="4"/>
      <c r="AD367" s="4" t="s">
        <v>861</v>
      </c>
      <c r="AE367" s="4">
        <v>160050071</v>
      </c>
    </row>
    <row r="368" s="2" customFormat="1" spans="1:31">
      <c r="A368" s="4">
        <v>366</v>
      </c>
      <c r="B368" s="31" t="s">
        <v>898</v>
      </c>
      <c r="C368" s="13" t="s">
        <v>714</v>
      </c>
      <c r="D368" s="22" t="s">
        <v>41</v>
      </c>
      <c r="E368" s="13">
        <v>72</v>
      </c>
      <c r="F368" s="31">
        <v>1</v>
      </c>
      <c r="G368" s="31">
        <v>1</v>
      </c>
      <c r="H368" s="6">
        <f t="shared" si="350"/>
        <v>1</v>
      </c>
      <c r="I368" s="4">
        <f t="shared" si="351"/>
        <v>99901</v>
      </c>
      <c r="J368" s="13">
        <f>ROUND(VLOOKUP(D368,[1]物品容器!$T$3:$U$8,2,FALSE)*M368,0)</f>
        <v>99901</v>
      </c>
      <c r="K368" s="18">
        <f t="shared" si="352"/>
        <v>99901</v>
      </c>
      <c r="L368" s="18">
        <f t="shared" ref="L368:O368" si="401">ROUND($I368*L$2,0)</f>
        <v>59941</v>
      </c>
      <c r="M368" s="19">
        <v>0.99901</v>
      </c>
      <c r="N368" s="18">
        <f t="shared" si="401"/>
        <v>14985</v>
      </c>
      <c r="O368" s="18">
        <f t="shared" si="401"/>
        <v>1498515</v>
      </c>
      <c r="P368" s="18">
        <f t="shared" si="354"/>
        <v>899.115</v>
      </c>
      <c r="Q368" s="18">
        <f t="shared" si="355"/>
        <v>4978</v>
      </c>
      <c r="R368" s="2" t="s">
        <v>912</v>
      </c>
      <c r="S368" s="4">
        <f t="shared" si="356"/>
        <v>160050063</v>
      </c>
      <c r="W368" s="4"/>
      <c r="X368" s="4"/>
      <c r="AD368" s="4" t="s">
        <v>864</v>
      </c>
      <c r="AE368" s="4">
        <v>160050072</v>
      </c>
    </row>
    <row r="369" s="2" customFormat="1" spans="1:31">
      <c r="A369" s="4">
        <v>367</v>
      </c>
      <c r="B369" s="31" t="s">
        <v>900</v>
      </c>
      <c r="C369" s="13" t="s">
        <v>714</v>
      </c>
      <c r="D369" s="22" t="s">
        <v>41</v>
      </c>
      <c r="E369" s="13">
        <v>73</v>
      </c>
      <c r="F369" s="31">
        <v>1</v>
      </c>
      <c r="G369" s="31">
        <v>1</v>
      </c>
      <c r="H369" s="6">
        <f t="shared" si="350"/>
        <v>1</v>
      </c>
      <c r="I369" s="4">
        <f t="shared" si="351"/>
        <v>100644</v>
      </c>
      <c r="J369" s="13">
        <f>ROUND(VLOOKUP(D369,[1]物品容器!$T$3:$U$8,2,FALSE)*M369,0)</f>
        <v>100644</v>
      </c>
      <c r="K369" s="18">
        <f t="shared" si="352"/>
        <v>100644</v>
      </c>
      <c r="L369" s="18">
        <f t="shared" ref="L369:O369" si="402">ROUND($I369*L$2,0)</f>
        <v>60386</v>
      </c>
      <c r="M369" s="19">
        <v>1.00644</v>
      </c>
      <c r="N369" s="18">
        <f t="shared" si="402"/>
        <v>15097</v>
      </c>
      <c r="O369" s="18">
        <f t="shared" si="402"/>
        <v>1509660</v>
      </c>
      <c r="P369" s="18">
        <f t="shared" si="354"/>
        <v>905.79</v>
      </c>
      <c r="Q369" s="18">
        <f t="shared" si="355"/>
        <v>5015</v>
      </c>
      <c r="R369" s="2" t="s">
        <v>913</v>
      </c>
      <c r="S369" s="4">
        <f t="shared" si="356"/>
        <v>160050064</v>
      </c>
      <c r="W369" s="4"/>
      <c r="X369" s="4"/>
      <c r="AD369" s="4" t="s">
        <v>867</v>
      </c>
      <c r="AE369" s="4">
        <v>160050073</v>
      </c>
    </row>
    <row r="370" s="2" customFormat="1" spans="1:31">
      <c r="A370" s="4">
        <v>368</v>
      </c>
      <c r="B370" s="31" t="s">
        <v>833</v>
      </c>
      <c r="C370" s="13" t="s">
        <v>714</v>
      </c>
      <c r="D370" s="24" t="s">
        <v>63</v>
      </c>
      <c r="E370" s="13">
        <v>74</v>
      </c>
      <c r="F370" s="31">
        <v>1</v>
      </c>
      <c r="G370" s="31">
        <v>1</v>
      </c>
      <c r="H370" s="6">
        <f t="shared" si="350"/>
        <v>1</v>
      </c>
      <c r="I370" s="4">
        <f t="shared" si="351"/>
        <v>29812</v>
      </c>
      <c r="J370" s="13">
        <f>ROUND(VLOOKUP(D370,[1]物品容器!$T$3:$U$8,2,FALSE)*M370,0)</f>
        <v>29812</v>
      </c>
      <c r="K370" s="18">
        <f t="shared" si="352"/>
        <v>29812</v>
      </c>
      <c r="L370" s="18">
        <f t="shared" ref="L370:O370" si="403">ROUND($I370*L$2,0)</f>
        <v>17887</v>
      </c>
      <c r="M370" s="19">
        <v>0.99372</v>
      </c>
      <c r="N370" s="18">
        <f t="shared" si="403"/>
        <v>4472</v>
      </c>
      <c r="O370" s="18">
        <f t="shared" si="403"/>
        <v>447180</v>
      </c>
      <c r="P370" s="18">
        <f t="shared" si="354"/>
        <v>268.305</v>
      </c>
      <c r="Q370" s="18">
        <f t="shared" si="355"/>
        <v>1485</v>
      </c>
      <c r="R370" s="16" t="s">
        <v>914</v>
      </c>
      <c r="S370" s="4">
        <f t="shared" si="356"/>
        <v>160050040</v>
      </c>
      <c r="W370" s="4"/>
      <c r="X370" s="4"/>
      <c r="AD370" s="4" t="s">
        <v>870</v>
      </c>
      <c r="AE370" s="4">
        <v>160050074</v>
      </c>
    </row>
    <row r="371" s="2" customFormat="1" spans="1:31">
      <c r="A371" s="4">
        <v>369</v>
      </c>
      <c r="B371" s="31" t="s">
        <v>836</v>
      </c>
      <c r="C371" s="13" t="s">
        <v>714</v>
      </c>
      <c r="D371" s="24" t="s">
        <v>63</v>
      </c>
      <c r="E371" s="13">
        <v>75</v>
      </c>
      <c r="F371" s="31">
        <v>1</v>
      </c>
      <c r="G371" s="31">
        <v>1</v>
      </c>
      <c r="H371" s="6">
        <f t="shared" si="350"/>
        <v>1</v>
      </c>
      <c r="I371" s="4">
        <f t="shared" si="351"/>
        <v>29798</v>
      </c>
      <c r="J371" s="13">
        <f>ROUND(VLOOKUP(D371,[1]物品容器!$T$3:$U$8,2,FALSE)*M371,0)</f>
        <v>29798</v>
      </c>
      <c r="K371" s="18">
        <f t="shared" si="352"/>
        <v>29798</v>
      </c>
      <c r="L371" s="18">
        <f t="shared" ref="L371:O371" si="404">ROUND($I371*L$2,0)</f>
        <v>17879</v>
      </c>
      <c r="M371" s="19">
        <v>0.99325</v>
      </c>
      <c r="N371" s="18">
        <f t="shared" si="404"/>
        <v>4470</v>
      </c>
      <c r="O371" s="18">
        <f t="shared" si="404"/>
        <v>446970</v>
      </c>
      <c r="P371" s="18">
        <f t="shared" si="354"/>
        <v>268.185</v>
      </c>
      <c r="Q371" s="18">
        <f t="shared" si="355"/>
        <v>1485</v>
      </c>
      <c r="R371" s="16" t="s">
        <v>915</v>
      </c>
      <c r="S371" s="4">
        <f t="shared" si="356"/>
        <v>160050041</v>
      </c>
      <c r="W371" s="4"/>
      <c r="X371" s="4"/>
      <c r="AD371" s="4" t="s">
        <v>873</v>
      </c>
      <c r="AE371" s="4">
        <v>160050075</v>
      </c>
    </row>
    <row r="372" s="2" customFormat="1" spans="1:31">
      <c r="A372" s="4">
        <v>370</v>
      </c>
      <c r="B372" s="31" t="s">
        <v>839</v>
      </c>
      <c r="C372" s="13" t="s">
        <v>714</v>
      </c>
      <c r="D372" s="24" t="s">
        <v>63</v>
      </c>
      <c r="E372" s="13">
        <v>76</v>
      </c>
      <c r="F372" s="31">
        <v>1</v>
      </c>
      <c r="G372" s="31">
        <v>1</v>
      </c>
      <c r="H372" s="6">
        <f t="shared" si="350"/>
        <v>1</v>
      </c>
      <c r="I372" s="4">
        <f t="shared" si="351"/>
        <v>29792</v>
      </c>
      <c r="J372" s="13">
        <f>ROUND(VLOOKUP(D372,[1]物品容器!$T$3:$U$8,2,FALSE)*M372,0)</f>
        <v>29792</v>
      </c>
      <c r="K372" s="18">
        <f t="shared" si="352"/>
        <v>29792</v>
      </c>
      <c r="L372" s="18">
        <f t="shared" ref="L372:O372" si="405">ROUND($I372*L$2,0)</f>
        <v>17875</v>
      </c>
      <c r="M372" s="19">
        <v>0.99308</v>
      </c>
      <c r="N372" s="18">
        <f t="shared" si="405"/>
        <v>4469</v>
      </c>
      <c r="O372" s="18">
        <f t="shared" si="405"/>
        <v>446880</v>
      </c>
      <c r="P372" s="18">
        <f t="shared" si="354"/>
        <v>268.125</v>
      </c>
      <c r="Q372" s="18">
        <f t="shared" si="355"/>
        <v>1485</v>
      </c>
      <c r="R372" s="16" t="s">
        <v>916</v>
      </c>
      <c r="S372" s="4">
        <f t="shared" si="356"/>
        <v>160050042</v>
      </c>
      <c r="W372" s="4"/>
      <c r="X372" s="4"/>
      <c r="AD372" s="4" t="s">
        <v>876</v>
      </c>
      <c r="AE372" s="4">
        <v>160050076</v>
      </c>
    </row>
    <row r="373" s="2" customFormat="1" spans="1:31">
      <c r="A373" s="4">
        <v>371</v>
      </c>
      <c r="B373" s="31" t="s">
        <v>842</v>
      </c>
      <c r="C373" s="13" t="s">
        <v>714</v>
      </c>
      <c r="D373" s="24" t="s">
        <v>63</v>
      </c>
      <c r="E373" s="13">
        <v>77</v>
      </c>
      <c r="F373" s="31">
        <v>1</v>
      </c>
      <c r="G373" s="31">
        <v>1</v>
      </c>
      <c r="H373" s="6">
        <f t="shared" si="350"/>
        <v>1</v>
      </c>
      <c r="I373" s="4">
        <f t="shared" si="351"/>
        <v>29990</v>
      </c>
      <c r="J373" s="13">
        <f>ROUND(VLOOKUP(D373,[1]物品容器!$T$3:$U$8,2,FALSE)*M373,0)</f>
        <v>29990</v>
      </c>
      <c r="K373" s="18">
        <f t="shared" si="352"/>
        <v>29990</v>
      </c>
      <c r="L373" s="18">
        <f t="shared" ref="L373:O373" si="406">ROUND($I373*L$2,0)</f>
        <v>17994</v>
      </c>
      <c r="M373" s="19">
        <v>0.99966</v>
      </c>
      <c r="N373" s="18">
        <f t="shared" si="406"/>
        <v>4499</v>
      </c>
      <c r="O373" s="18">
        <f t="shared" si="406"/>
        <v>449850</v>
      </c>
      <c r="P373" s="18">
        <f t="shared" si="354"/>
        <v>269.91</v>
      </c>
      <c r="Q373" s="18">
        <f t="shared" si="355"/>
        <v>1494</v>
      </c>
      <c r="R373" s="16" t="s">
        <v>917</v>
      </c>
      <c r="S373" s="4">
        <f t="shared" si="356"/>
        <v>160050043</v>
      </c>
      <c r="W373" s="4"/>
      <c r="X373" s="4"/>
      <c r="AD373" s="4" t="s">
        <v>878</v>
      </c>
      <c r="AE373" s="4">
        <v>160050077</v>
      </c>
    </row>
    <row r="374" s="2" customFormat="1" spans="1:31">
      <c r="A374" s="4">
        <v>372</v>
      </c>
      <c r="B374" s="31" t="s">
        <v>845</v>
      </c>
      <c r="C374" s="13" t="s">
        <v>714</v>
      </c>
      <c r="D374" s="24" t="s">
        <v>63</v>
      </c>
      <c r="E374" s="13">
        <v>78</v>
      </c>
      <c r="F374" s="31">
        <v>3</v>
      </c>
      <c r="G374" s="31">
        <v>2</v>
      </c>
      <c r="H374" s="6">
        <f t="shared" si="350"/>
        <v>0.88</v>
      </c>
      <c r="I374" s="4">
        <f t="shared" si="351"/>
        <v>158442</v>
      </c>
      <c r="J374" s="13">
        <f>ROUND(VLOOKUP(D374,[1]物品容器!$T$3:$U$8,2,FALSE)*M374,0)</f>
        <v>30008</v>
      </c>
      <c r="K374" s="18">
        <f t="shared" si="352"/>
        <v>26407</v>
      </c>
      <c r="L374" s="18">
        <f t="shared" ref="L374:O374" si="407">ROUND($I374*L$2,0)</f>
        <v>95065</v>
      </c>
      <c r="M374" s="19">
        <v>1.00026</v>
      </c>
      <c r="N374" s="18">
        <f t="shared" si="407"/>
        <v>23766</v>
      </c>
      <c r="O374" s="18">
        <f t="shared" si="407"/>
        <v>2376630</v>
      </c>
      <c r="P374" s="18">
        <f t="shared" si="354"/>
        <v>1425.975</v>
      </c>
      <c r="Q374" s="18">
        <f t="shared" si="355"/>
        <v>7895</v>
      </c>
      <c r="R374" s="16" t="s">
        <v>918</v>
      </c>
      <c r="S374" s="4">
        <f t="shared" si="356"/>
        <v>160050044</v>
      </c>
      <c r="W374" s="4"/>
      <c r="X374" s="4"/>
      <c r="AD374" s="4" t="s">
        <v>881</v>
      </c>
      <c r="AE374" s="4">
        <v>160050078</v>
      </c>
    </row>
    <row r="375" s="2" customFormat="1" spans="1:31">
      <c r="A375" s="4">
        <v>373</v>
      </c>
      <c r="B375" s="31" t="s">
        <v>848</v>
      </c>
      <c r="C375" s="13" t="s">
        <v>714</v>
      </c>
      <c r="D375" s="24" t="s">
        <v>63</v>
      </c>
      <c r="E375" s="13">
        <v>79</v>
      </c>
      <c r="F375" s="31">
        <v>1</v>
      </c>
      <c r="G375" s="31">
        <v>1</v>
      </c>
      <c r="H375" s="6">
        <f t="shared" si="350"/>
        <v>1</v>
      </c>
      <c r="I375" s="4">
        <f t="shared" si="351"/>
        <v>30199</v>
      </c>
      <c r="J375" s="13">
        <f>ROUND(VLOOKUP(D375,[1]物品容器!$T$3:$U$8,2,FALSE)*M375,0)</f>
        <v>30199</v>
      </c>
      <c r="K375" s="18">
        <f t="shared" si="352"/>
        <v>30199</v>
      </c>
      <c r="L375" s="18">
        <f t="shared" ref="L375:O375" si="408">ROUND($I375*L$2,0)</f>
        <v>18119</v>
      </c>
      <c r="M375" s="19">
        <v>1.00664</v>
      </c>
      <c r="N375" s="18">
        <f t="shared" si="408"/>
        <v>4530</v>
      </c>
      <c r="O375" s="18">
        <f t="shared" si="408"/>
        <v>452985</v>
      </c>
      <c r="P375" s="18">
        <f t="shared" si="354"/>
        <v>271.785</v>
      </c>
      <c r="Q375" s="18">
        <f t="shared" si="355"/>
        <v>1505</v>
      </c>
      <c r="R375" s="16" t="s">
        <v>919</v>
      </c>
      <c r="S375" s="4">
        <f t="shared" si="356"/>
        <v>160050045</v>
      </c>
      <c r="W375" s="4"/>
      <c r="X375" s="4"/>
      <c r="AD375" s="4" t="s">
        <v>884</v>
      </c>
      <c r="AE375" s="4">
        <v>160050079</v>
      </c>
    </row>
    <row r="376" s="2" customFormat="1" spans="1:31">
      <c r="A376" s="4">
        <v>374</v>
      </c>
      <c r="B376" s="31" t="s">
        <v>851</v>
      </c>
      <c r="C376" s="13" t="s">
        <v>714</v>
      </c>
      <c r="D376" s="24" t="s">
        <v>63</v>
      </c>
      <c r="E376" s="13">
        <v>80</v>
      </c>
      <c r="F376" s="31">
        <v>2</v>
      </c>
      <c r="G376" s="31">
        <v>3</v>
      </c>
      <c r="H376" s="6">
        <f t="shared" si="350"/>
        <v>0.88</v>
      </c>
      <c r="I376" s="4">
        <f t="shared" si="351"/>
        <v>156821</v>
      </c>
      <c r="J376" s="13">
        <f>ROUND(VLOOKUP(D376,[1]物品容器!$T$3:$U$8,2,FALSE)*M376,0)</f>
        <v>29701</v>
      </c>
      <c r="K376" s="18">
        <f t="shared" si="352"/>
        <v>26137</v>
      </c>
      <c r="L376" s="18">
        <f t="shared" ref="L376:O376" si="409">ROUND($I376*L$2,0)</f>
        <v>94093</v>
      </c>
      <c r="M376" s="19">
        <v>0.99003</v>
      </c>
      <c r="N376" s="18">
        <f t="shared" si="409"/>
        <v>23523</v>
      </c>
      <c r="O376" s="18">
        <f t="shared" si="409"/>
        <v>2352315</v>
      </c>
      <c r="P376" s="18">
        <f t="shared" si="354"/>
        <v>1411.395</v>
      </c>
      <c r="Q376" s="18">
        <f t="shared" si="355"/>
        <v>7814</v>
      </c>
      <c r="R376" s="16" t="s">
        <v>920</v>
      </c>
      <c r="S376" s="4">
        <f t="shared" si="356"/>
        <v>160050046</v>
      </c>
      <c r="W376" s="4"/>
      <c r="X376" s="4"/>
      <c r="AD376" s="4" t="s">
        <v>887</v>
      </c>
      <c r="AE376" s="4">
        <v>160050080</v>
      </c>
    </row>
    <row r="377" s="2" customFormat="1" spans="1:31">
      <c r="A377" s="4">
        <v>375</v>
      </c>
      <c r="B377" s="31" t="s">
        <v>854</v>
      </c>
      <c r="C377" s="13" t="s">
        <v>714</v>
      </c>
      <c r="D377" s="24" t="s">
        <v>63</v>
      </c>
      <c r="E377" s="13">
        <v>81</v>
      </c>
      <c r="F377" s="31">
        <v>1</v>
      </c>
      <c r="G377" s="31">
        <v>2</v>
      </c>
      <c r="H377" s="6">
        <f t="shared" si="350"/>
        <v>0.97</v>
      </c>
      <c r="I377" s="4">
        <f t="shared" si="351"/>
        <v>58150</v>
      </c>
      <c r="J377" s="13">
        <f>ROUND(VLOOKUP(D377,[1]物品容器!$T$3:$U$8,2,FALSE)*M377,0)</f>
        <v>29974</v>
      </c>
      <c r="K377" s="18">
        <f t="shared" si="352"/>
        <v>29075</v>
      </c>
      <c r="L377" s="18">
        <f t="shared" ref="L377:O377" si="410">ROUND($I377*L$2,0)</f>
        <v>34890</v>
      </c>
      <c r="M377" s="19">
        <v>0.99912</v>
      </c>
      <c r="N377" s="18">
        <f t="shared" si="410"/>
        <v>8723</v>
      </c>
      <c r="O377" s="18">
        <f t="shared" si="410"/>
        <v>872250</v>
      </c>
      <c r="P377" s="18">
        <f t="shared" si="354"/>
        <v>523.35</v>
      </c>
      <c r="Q377" s="18">
        <f t="shared" si="355"/>
        <v>2898</v>
      </c>
      <c r="R377" s="16" t="s">
        <v>921</v>
      </c>
      <c r="S377" s="4">
        <f t="shared" si="356"/>
        <v>160050047</v>
      </c>
      <c r="W377" s="4"/>
      <c r="X377" s="4"/>
      <c r="AD377" s="4" t="s">
        <v>890</v>
      </c>
      <c r="AE377" s="4">
        <v>160050081</v>
      </c>
    </row>
    <row r="378" s="2" customFormat="1" spans="1:31">
      <c r="A378" s="4">
        <v>376</v>
      </c>
      <c r="B378" s="31" t="s">
        <v>857</v>
      </c>
      <c r="C378" s="13" t="s">
        <v>714</v>
      </c>
      <c r="D378" s="24" t="s">
        <v>63</v>
      </c>
      <c r="E378" s="13">
        <v>82</v>
      </c>
      <c r="F378" s="31">
        <v>1</v>
      </c>
      <c r="G378" s="31">
        <v>1</v>
      </c>
      <c r="H378" s="6">
        <f t="shared" si="350"/>
        <v>1</v>
      </c>
      <c r="I378" s="4">
        <f t="shared" si="351"/>
        <v>29704</v>
      </c>
      <c r="J378" s="13">
        <f>ROUND(VLOOKUP(D378,[1]物品容器!$T$3:$U$8,2,FALSE)*M378,0)</f>
        <v>29704</v>
      </c>
      <c r="K378" s="18">
        <f t="shared" si="352"/>
        <v>29704</v>
      </c>
      <c r="L378" s="18">
        <f t="shared" ref="L378:O378" si="411">ROUND($I378*L$2,0)</f>
        <v>17822</v>
      </c>
      <c r="M378" s="19">
        <v>0.99013</v>
      </c>
      <c r="N378" s="18">
        <f t="shared" si="411"/>
        <v>4456</v>
      </c>
      <c r="O378" s="18">
        <f t="shared" si="411"/>
        <v>445560</v>
      </c>
      <c r="P378" s="18">
        <f t="shared" si="354"/>
        <v>267.33</v>
      </c>
      <c r="Q378" s="18">
        <f t="shared" si="355"/>
        <v>1480</v>
      </c>
      <c r="R378" s="16" t="s">
        <v>922</v>
      </c>
      <c r="S378" s="4">
        <f t="shared" si="356"/>
        <v>160050048</v>
      </c>
      <c r="W378" s="4"/>
      <c r="X378" s="4"/>
      <c r="AD378" s="4" t="s">
        <v>892</v>
      </c>
      <c r="AE378" s="4">
        <v>160050082</v>
      </c>
    </row>
    <row r="379" s="2" customFormat="1" spans="1:31">
      <c r="A379" s="4">
        <v>377</v>
      </c>
      <c r="B379" s="31" t="s">
        <v>860</v>
      </c>
      <c r="C379" s="13" t="s">
        <v>714</v>
      </c>
      <c r="D379" s="24" t="s">
        <v>63</v>
      </c>
      <c r="E379" s="13">
        <v>83</v>
      </c>
      <c r="F379" s="31">
        <v>1</v>
      </c>
      <c r="G379" s="31">
        <v>2</v>
      </c>
      <c r="H379" s="6">
        <f t="shared" si="350"/>
        <v>0.97</v>
      </c>
      <c r="I379" s="4">
        <f t="shared" si="351"/>
        <v>58190</v>
      </c>
      <c r="J379" s="13">
        <f>ROUND(VLOOKUP(D379,[1]物品容器!$T$3:$U$8,2,FALSE)*M379,0)</f>
        <v>29995</v>
      </c>
      <c r="K379" s="18">
        <f t="shared" si="352"/>
        <v>29095</v>
      </c>
      <c r="L379" s="18">
        <f t="shared" ref="L379:O379" si="412">ROUND($I379*L$2,0)</f>
        <v>34914</v>
      </c>
      <c r="M379" s="19">
        <v>0.99984</v>
      </c>
      <c r="N379" s="18">
        <f t="shared" si="412"/>
        <v>8729</v>
      </c>
      <c r="O379" s="18">
        <f t="shared" si="412"/>
        <v>872850</v>
      </c>
      <c r="P379" s="18">
        <f t="shared" si="354"/>
        <v>523.71</v>
      </c>
      <c r="Q379" s="18">
        <f t="shared" si="355"/>
        <v>2900</v>
      </c>
      <c r="R379" s="16" t="s">
        <v>923</v>
      </c>
      <c r="S379" s="4">
        <f t="shared" si="356"/>
        <v>160050049</v>
      </c>
      <c r="W379" s="4"/>
      <c r="X379" s="4"/>
      <c r="AD379" s="4" t="s">
        <v>896</v>
      </c>
      <c r="AE379" s="4">
        <v>160050083</v>
      </c>
    </row>
    <row r="380" s="2" customFormat="1" spans="1:31">
      <c r="A380" s="4">
        <v>378</v>
      </c>
      <c r="B380" s="31" t="s">
        <v>863</v>
      </c>
      <c r="C380" s="13" t="s">
        <v>714</v>
      </c>
      <c r="D380" s="24" t="s">
        <v>63</v>
      </c>
      <c r="E380" s="13">
        <v>84</v>
      </c>
      <c r="F380" s="31">
        <v>1</v>
      </c>
      <c r="G380" s="31">
        <v>2</v>
      </c>
      <c r="H380" s="6">
        <f t="shared" si="350"/>
        <v>0.97</v>
      </c>
      <c r="I380" s="4">
        <f t="shared" si="351"/>
        <v>58501</v>
      </c>
      <c r="J380" s="13">
        <f>ROUND(VLOOKUP(D380,[1]物品容器!$T$3:$U$8,2,FALSE)*M380,0)</f>
        <v>30155</v>
      </c>
      <c r="K380" s="18">
        <f t="shared" si="352"/>
        <v>29250</v>
      </c>
      <c r="L380" s="18">
        <f t="shared" ref="L380:O380" si="413">ROUND($I380*L$2,0)</f>
        <v>35101</v>
      </c>
      <c r="M380" s="19">
        <v>1.00515</v>
      </c>
      <c r="N380" s="18">
        <f t="shared" si="413"/>
        <v>8775</v>
      </c>
      <c r="O380" s="18">
        <f t="shared" si="413"/>
        <v>877515</v>
      </c>
      <c r="P380" s="18">
        <f t="shared" si="354"/>
        <v>526.515</v>
      </c>
      <c r="Q380" s="18">
        <f t="shared" si="355"/>
        <v>2915</v>
      </c>
      <c r="R380" s="16" t="s">
        <v>924</v>
      </c>
      <c r="S380" s="4">
        <f t="shared" si="356"/>
        <v>160050050</v>
      </c>
      <c r="W380" s="4"/>
      <c r="X380" s="4"/>
      <c r="AD380" s="4" t="s">
        <v>907</v>
      </c>
      <c r="AE380" s="4">
        <v>160050084</v>
      </c>
    </row>
    <row r="381" s="2" customFormat="1" spans="1:31">
      <c r="A381" s="4">
        <v>379</v>
      </c>
      <c r="B381" s="31" t="s">
        <v>866</v>
      </c>
      <c r="C381" s="13" t="s">
        <v>714</v>
      </c>
      <c r="D381" s="24" t="s">
        <v>63</v>
      </c>
      <c r="E381" s="13">
        <v>85</v>
      </c>
      <c r="F381" s="31">
        <v>1</v>
      </c>
      <c r="G381" s="31">
        <v>2</v>
      </c>
      <c r="H381" s="6">
        <f t="shared" si="350"/>
        <v>0.97</v>
      </c>
      <c r="I381" s="4">
        <f t="shared" si="351"/>
        <v>58596</v>
      </c>
      <c r="J381" s="13">
        <f>ROUND(VLOOKUP(D381,[1]物品容器!$T$3:$U$8,2,FALSE)*M381,0)</f>
        <v>30204</v>
      </c>
      <c r="K381" s="18">
        <f t="shared" si="352"/>
        <v>29298</v>
      </c>
      <c r="L381" s="18">
        <f t="shared" ref="L381:O381" si="414">ROUND($I381*L$2,0)</f>
        <v>35158</v>
      </c>
      <c r="M381" s="19">
        <v>1.00679</v>
      </c>
      <c r="N381" s="18">
        <f t="shared" si="414"/>
        <v>8789</v>
      </c>
      <c r="O381" s="18">
        <f t="shared" si="414"/>
        <v>878940</v>
      </c>
      <c r="P381" s="18">
        <f t="shared" si="354"/>
        <v>527.37</v>
      </c>
      <c r="Q381" s="18">
        <f t="shared" si="355"/>
        <v>2920</v>
      </c>
      <c r="R381" s="16" t="s">
        <v>925</v>
      </c>
      <c r="S381" s="4">
        <f t="shared" si="356"/>
        <v>160050051</v>
      </c>
      <c r="W381" s="4"/>
      <c r="X381" s="4"/>
      <c r="AD381" s="4" t="s">
        <v>904</v>
      </c>
      <c r="AE381" s="4">
        <v>160050085</v>
      </c>
    </row>
    <row r="382" s="2" customFormat="1" spans="1:31">
      <c r="A382" s="4">
        <v>380</v>
      </c>
      <c r="B382" s="31" t="s">
        <v>869</v>
      </c>
      <c r="C382" s="13" t="s">
        <v>714</v>
      </c>
      <c r="D382" s="24" t="s">
        <v>63</v>
      </c>
      <c r="E382" s="13">
        <v>86</v>
      </c>
      <c r="F382" s="31">
        <v>1</v>
      </c>
      <c r="G382" s="31">
        <v>2</v>
      </c>
      <c r="H382" s="6">
        <f t="shared" si="350"/>
        <v>0.97</v>
      </c>
      <c r="I382" s="4">
        <f t="shared" si="351"/>
        <v>58124</v>
      </c>
      <c r="J382" s="13">
        <f>ROUND(VLOOKUP(D382,[1]物品容器!$T$3:$U$8,2,FALSE)*M382,0)</f>
        <v>29961</v>
      </c>
      <c r="K382" s="18">
        <f t="shared" si="352"/>
        <v>29062</v>
      </c>
      <c r="L382" s="18">
        <f t="shared" ref="L382:O382" si="415">ROUND($I382*L$2,0)</f>
        <v>34874</v>
      </c>
      <c r="M382" s="19">
        <v>0.99871</v>
      </c>
      <c r="N382" s="18">
        <f t="shared" si="415"/>
        <v>8719</v>
      </c>
      <c r="O382" s="18">
        <f t="shared" si="415"/>
        <v>871860</v>
      </c>
      <c r="P382" s="18">
        <f t="shared" si="354"/>
        <v>523.11</v>
      </c>
      <c r="Q382" s="18">
        <f t="shared" si="355"/>
        <v>2896</v>
      </c>
      <c r="R382" s="16" t="s">
        <v>926</v>
      </c>
      <c r="S382" s="4">
        <f t="shared" si="356"/>
        <v>160050052</v>
      </c>
      <c r="W382" s="4"/>
      <c r="X382" s="4"/>
      <c r="AD382" s="4" t="s">
        <v>902</v>
      </c>
      <c r="AE382" s="4">
        <v>160050086</v>
      </c>
    </row>
    <row r="383" s="2" customFormat="1" spans="1:31">
      <c r="A383" s="4">
        <v>381</v>
      </c>
      <c r="B383" s="31" t="s">
        <v>872</v>
      </c>
      <c r="C383" s="13" t="s">
        <v>714</v>
      </c>
      <c r="D383" s="24" t="s">
        <v>63</v>
      </c>
      <c r="E383" s="13">
        <v>87</v>
      </c>
      <c r="F383" s="31">
        <v>1</v>
      </c>
      <c r="G383" s="31">
        <v>1</v>
      </c>
      <c r="H383" s="6">
        <f t="shared" si="350"/>
        <v>1</v>
      </c>
      <c r="I383" s="4">
        <f t="shared" si="351"/>
        <v>30221</v>
      </c>
      <c r="J383" s="13">
        <f>ROUND(VLOOKUP(D383,[1]物品容器!$T$3:$U$8,2,FALSE)*M383,0)</f>
        <v>30221</v>
      </c>
      <c r="K383" s="18">
        <f t="shared" si="352"/>
        <v>30221</v>
      </c>
      <c r="L383" s="18">
        <f t="shared" ref="L383:O383" si="416">ROUND($I383*L$2,0)</f>
        <v>18133</v>
      </c>
      <c r="M383" s="19">
        <v>1.00737</v>
      </c>
      <c r="N383" s="18">
        <f t="shared" si="416"/>
        <v>4533</v>
      </c>
      <c r="O383" s="18">
        <f t="shared" si="416"/>
        <v>453315</v>
      </c>
      <c r="P383" s="18">
        <f t="shared" si="354"/>
        <v>271.995</v>
      </c>
      <c r="Q383" s="18">
        <f t="shared" si="355"/>
        <v>1506</v>
      </c>
      <c r="R383" s="16" t="s">
        <v>927</v>
      </c>
      <c r="S383" s="4">
        <f t="shared" si="356"/>
        <v>160050053</v>
      </c>
      <c r="W383" s="4"/>
      <c r="X383" s="4"/>
      <c r="AD383" s="4" t="s">
        <v>909</v>
      </c>
      <c r="AE383" s="4">
        <v>160050087</v>
      </c>
    </row>
    <row r="384" s="2" customFormat="1" spans="1:31">
      <c r="A384" s="4">
        <v>382</v>
      </c>
      <c r="B384" s="31" t="s">
        <v>875</v>
      </c>
      <c r="C384" s="13" t="s">
        <v>714</v>
      </c>
      <c r="D384" s="24" t="s">
        <v>63</v>
      </c>
      <c r="E384" s="13">
        <v>88</v>
      </c>
      <c r="F384" s="31">
        <v>2</v>
      </c>
      <c r="G384" s="31">
        <v>1</v>
      </c>
      <c r="H384" s="6">
        <f t="shared" si="350"/>
        <v>0.97</v>
      </c>
      <c r="I384" s="4">
        <f t="shared" si="351"/>
        <v>57641</v>
      </c>
      <c r="J384" s="13">
        <f>ROUND(VLOOKUP(D384,[1]物品容器!$T$3:$U$8,2,FALSE)*M384,0)</f>
        <v>29712</v>
      </c>
      <c r="K384" s="18">
        <f t="shared" si="352"/>
        <v>28821</v>
      </c>
      <c r="L384" s="18">
        <f t="shared" ref="L384:O384" si="417">ROUND($I384*L$2,0)</f>
        <v>34585</v>
      </c>
      <c r="M384" s="19">
        <v>0.99039</v>
      </c>
      <c r="N384" s="18">
        <f t="shared" si="417"/>
        <v>8646</v>
      </c>
      <c r="O384" s="18">
        <f t="shared" si="417"/>
        <v>864615</v>
      </c>
      <c r="P384" s="18">
        <f t="shared" si="354"/>
        <v>518.775</v>
      </c>
      <c r="Q384" s="18">
        <f t="shared" si="355"/>
        <v>2872</v>
      </c>
      <c r="R384" s="16" t="s">
        <v>928</v>
      </c>
      <c r="S384" s="4">
        <f t="shared" si="356"/>
        <v>160050054</v>
      </c>
      <c r="W384" s="4"/>
      <c r="X384" s="4"/>
      <c r="AD384" s="4" t="s">
        <v>713</v>
      </c>
      <c r="AE384" s="4">
        <v>160050088</v>
      </c>
    </row>
    <row r="385" s="2" customFormat="1" spans="1:31">
      <c r="A385" s="4">
        <v>383</v>
      </c>
      <c r="B385" s="31" t="s">
        <v>824</v>
      </c>
      <c r="C385" s="13" t="s">
        <v>714</v>
      </c>
      <c r="D385" s="24" t="s">
        <v>63</v>
      </c>
      <c r="E385" s="13">
        <v>89</v>
      </c>
      <c r="F385" s="31">
        <v>1</v>
      </c>
      <c r="G385" s="31">
        <v>1</v>
      </c>
      <c r="H385" s="6">
        <f t="shared" si="350"/>
        <v>1</v>
      </c>
      <c r="I385" s="4">
        <f t="shared" si="351"/>
        <v>29850</v>
      </c>
      <c r="J385" s="13">
        <f>ROUND(VLOOKUP(D385,[1]物品容器!$T$3:$U$8,2,FALSE)*M385,0)</f>
        <v>29850</v>
      </c>
      <c r="K385" s="18">
        <f t="shared" si="352"/>
        <v>29850</v>
      </c>
      <c r="L385" s="18">
        <f t="shared" ref="L385:O385" si="418">ROUND($I385*L$2,0)</f>
        <v>17910</v>
      </c>
      <c r="M385" s="19">
        <v>0.99499</v>
      </c>
      <c r="N385" s="18">
        <f t="shared" si="418"/>
        <v>4478</v>
      </c>
      <c r="O385" s="18">
        <f t="shared" si="418"/>
        <v>447750</v>
      </c>
      <c r="P385" s="18">
        <f t="shared" si="354"/>
        <v>268.65</v>
      </c>
      <c r="Q385" s="18">
        <f t="shared" si="355"/>
        <v>1487</v>
      </c>
      <c r="R385" s="2" t="s">
        <v>929</v>
      </c>
      <c r="S385" s="4">
        <f t="shared" si="356"/>
        <v>160050037</v>
      </c>
      <c r="W385" s="4"/>
      <c r="X385" s="4"/>
      <c r="AD385" s="4" t="s">
        <v>717</v>
      </c>
      <c r="AE385" s="4">
        <v>160050089</v>
      </c>
    </row>
    <row r="386" s="2" customFormat="1" spans="1:31">
      <c r="A386" s="4">
        <v>384</v>
      </c>
      <c r="B386" s="31" t="s">
        <v>827</v>
      </c>
      <c r="C386" s="13" t="s">
        <v>714</v>
      </c>
      <c r="D386" s="24" t="s">
        <v>63</v>
      </c>
      <c r="E386" s="13">
        <v>90</v>
      </c>
      <c r="F386" s="23">
        <v>2</v>
      </c>
      <c r="G386" s="31">
        <v>2</v>
      </c>
      <c r="H386" s="6">
        <f t="shared" si="350"/>
        <v>0.91</v>
      </c>
      <c r="I386" s="4">
        <f t="shared" si="351"/>
        <v>108570</v>
      </c>
      <c r="J386" s="13">
        <f>ROUND(VLOOKUP(D386,[1]物品容器!$T$3:$U$8,2,FALSE)*M386,0)</f>
        <v>29827</v>
      </c>
      <c r="K386" s="18">
        <f t="shared" si="352"/>
        <v>27143</v>
      </c>
      <c r="L386" s="18">
        <f t="shared" ref="L386:O386" si="419">ROUND($I386*L$2,0)</f>
        <v>65142</v>
      </c>
      <c r="M386" s="19">
        <v>0.99423</v>
      </c>
      <c r="N386" s="18">
        <f t="shared" si="419"/>
        <v>16286</v>
      </c>
      <c r="O386" s="18">
        <f t="shared" si="419"/>
        <v>1628550</v>
      </c>
      <c r="P386" s="18">
        <f t="shared" si="354"/>
        <v>977.13</v>
      </c>
      <c r="Q386" s="18">
        <f t="shared" si="355"/>
        <v>5410</v>
      </c>
      <c r="R386" s="2" t="s">
        <v>930</v>
      </c>
      <c r="S386" s="4">
        <f t="shared" si="356"/>
        <v>160050038</v>
      </c>
      <c r="W386" s="4"/>
      <c r="X386" s="4"/>
      <c r="AD386" s="4" t="s">
        <v>726</v>
      </c>
      <c r="AE386" s="4">
        <v>160050090</v>
      </c>
    </row>
    <row r="387" s="2" customFormat="1" spans="1:31">
      <c r="A387" s="4">
        <v>385</v>
      </c>
      <c r="B387" s="31" t="s">
        <v>830</v>
      </c>
      <c r="C387" s="13" t="s">
        <v>714</v>
      </c>
      <c r="D387" s="24" t="s">
        <v>63</v>
      </c>
      <c r="E387" s="13">
        <v>91</v>
      </c>
      <c r="F387" s="23">
        <v>2</v>
      </c>
      <c r="G387" s="23">
        <v>3</v>
      </c>
      <c r="H387" s="6">
        <f t="shared" ref="H387:H450" si="420">VLOOKUP(F387*G387,$T$3:$U$11,2,FALSE)</f>
        <v>0.88</v>
      </c>
      <c r="I387" s="4">
        <f t="shared" ref="I387:I450" si="421">ROUND(F387*G387*J387*H387,0)</f>
        <v>157376</v>
      </c>
      <c r="J387" s="13">
        <f>ROUND(VLOOKUP(D387,[1]物品容器!$T$3:$U$8,2,FALSE)*M387,0)</f>
        <v>29806</v>
      </c>
      <c r="K387" s="18">
        <f t="shared" ref="K387:K450" si="422">ROUND(J387*H387,0)</f>
        <v>26229</v>
      </c>
      <c r="L387" s="18">
        <f t="shared" ref="L387:O387" si="423">ROUND($I387*L$2,0)</f>
        <v>94426</v>
      </c>
      <c r="M387" s="19">
        <v>0.99352</v>
      </c>
      <c r="N387" s="18">
        <f t="shared" si="423"/>
        <v>23606</v>
      </c>
      <c r="O387" s="18">
        <f t="shared" si="423"/>
        <v>2360640</v>
      </c>
      <c r="P387" s="18">
        <f t="shared" ref="P387:P450" si="424">L387*1.5%</f>
        <v>1416.39</v>
      </c>
      <c r="Q387" s="18">
        <f t="shared" ref="Q387:Q450" si="425">ROUND((O387-N387)*$Q$2,0)</f>
        <v>7842</v>
      </c>
      <c r="R387" s="2" t="s">
        <v>931</v>
      </c>
      <c r="S387" s="4">
        <f t="shared" ref="S387:S450" si="426">VLOOKUP(B387,$AD:$AE,2,FALSE)</f>
        <v>160050039</v>
      </c>
      <c r="W387" s="4"/>
      <c r="X387" s="4"/>
      <c r="AD387" s="4" t="s">
        <v>720</v>
      </c>
      <c r="AE387" s="4">
        <v>160050091</v>
      </c>
    </row>
    <row r="388" s="2" customFormat="1" spans="1:31">
      <c r="A388" s="4">
        <v>386</v>
      </c>
      <c r="B388" s="31" t="s">
        <v>803</v>
      </c>
      <c r="C388" s="13" t="s">
        <v>714</v>
      </c>
      <c r="D388" s="25" t="s">
        <v>76</v>
      </c>
      <c r="E388" s="13">
        <v>92</v>
      </c>
      <c r="F388" s="31">
        <v>1</v>
      </c>
      <c r="G388" s="31">
        <v>1</v>
      </c>
      <c r="H388" s="6">
        <f t="shared" si="420"/>
        <v>1</v>
      </c>
      <c r="I388" s="4">
        <f t="shared" si="421"/>
        <v>9952</v>
      </c>
      <c r="J388" s="13">
        <f>ROUND(VLOOKUP(D388,[1]物品容器!$T$3:$U$8,2,FALSE)*M388,0)</f>
        <v>9952</v>
      </c>
      <c r="K388" s="18">
        <f t="shared" si="422"/>
        <v>9952</v>
      </c>
      <c r="L388" s="18">
        <f t="shared" ref="L388:O388" si="427">ROUND($I388*L$2,0)</f>
        <v>5971</v>
      </c>
      <c r="M388" s="19">
        <v>0.99521</v>
      </c>
      <c r="N388" s="18">
        <f t="shared" si="427"/>
        <v>1493</v>
      </c>
      <c r="O388" s="18">
        <f t="shared" si="427"/>
        <v>149280</v>
      </c>
      <c r="P388" s="18">
        <f t="shared" si="424"/>
        <v>89.565</v>
      </c>
      <c r="Q388" s="18">
        <f t="shared" si="425"/>
        <v>496</v>
      </c>
      <c r="R388" s="16" t="s">
        <v>932</v>
      </c>
      <c r="S388" s="4">
        <f t="shared" si="426"/>
        <v>160050030</v>
      </c>
      <c r="W388" s="4"/>
      <c r="X388" s="4"/>
      <c r="AD388" s="4" t="s">
        <v>723</v>
      </c>
      <c r="AE388" s="4">
        <v>160050092</v>
      </c>
    </row>
    <row r="389" s="2" customFormat="1" spans="1:31">
      <c r="A389" s="4">
        <v>387</v>
      </c>
      <c r="B389" s="31" t="s">
        <v>806</v>
      </c>
      <c r="C389" s="13" t="s">
        <v>714</v>
      </c>
      <c r="D389" s="25" t="s">
        <v>76</v>
      </c>
      <c r="E389" s="13">
        <v>93</v>
      </c>
      <c r="F389" s="31">
        <v>1</v>
      </c>
      <c r="G389" s="31">
        <v>1</v>
      </c>
      <c r="H389" s="6">
        <f t="shared" si="420"/>
        <v>1</v>
      </c>
      <c r="I389" s="4">
        <f t="shared" si="421"/>
        <v>10010</v>
      </c>
      <c r="J389" s="13">
        <f>ROUND(VLOOKUP(D389,[1]物品容器!$T$3:$U$8,2,FALSE)*M389,0)</f>
        <v>10010</v>
      </c>
      <c r="K389" s="18">
        <f t="shared" si="422"/>
        <v>10010</v>
      </c>
      <c r="L389" s="18">
        <f t="shared" ref="L389:O389" si="428">ROUND($I389*L$2,0)</f>
        <v>6006</v>
      </c>
      <c r="M389" s="19">
        <v>1.00104</v>
      </c>
      <c r="N389" s="18">
        <f t="shared" si="428"/>
        <v>1502</v>
      </c>
      <c r="O389" s="18">
        <f t="shared" si="428"/>
        <v>150150</v>
      </c>
      <c r="P389" s="18">
        <f t="shared" si="424"/>
        <v>90.09</v>
      </c>
      <c r="Q389" s="18">
        <f t="shared" si="425"/>
        <v>499</v>
      </c>
      <c r="R389" s="16" t="s">
        <v>933</v>
      </c>
      <c r="S389" s="4">
        <f t="shared" si="426"/>
        <v>160050031</v>
      </c>
      <c r="W389" s="4"/>
      <c r="X389" s="4"/>
      <c r="AD389" s="4" t="s">
        <v>729</v>
      </c>
      <c r="AE389" s="4">
        <v>160050093</v>
      </c>
    </row>
    <row r="390" s="2" customFormat="1" spans="1:31">
      <c r="A390" s="4">
        <v>388</v>
      </c>
      <c r="B390" s="31" t="s">
        <v>809</v>
      </c>
      <c r="C390" s="13" t="s">
        <v>714</v>
      </c>
      <c r="D390" s="25" t="s">
        <v>76</v>
      </c>
      <c r="E390" s="13">
        <v>94</v>
      </c>
      <c r="F390" s="31">
        <v>1</v>
      </c>
      <c r="G390" s="31">
        <v>1</v>
      </c>
      <c r="H390" s="6">
        <f t="shared" si="420"/>
        <v>1</v>
      </c>
      <c r="I390" s="4">
        <f t="shared" si="421"/>
        <v>10093</v>
      </c>
      <c r="J390" s="13">
        <f>ROUND(VLOOKUP(D390,[1]物品容器!$T$3:$U$8,2,FALSE)*M390,0)</f>
        <v>10093</v>
      </c>
      <c r="K390" s="18">
        <f t="shared" si="422"/>
        <v>10093</v>
      </c>
      <c r="L390" s="18">
        <f t="shared" ref="L390:O390" si="429">ROUND($I390*L$2,0)</f>
        <v>6056</v>
      </c>
      <c r="M390" s="19">
        <v>1.00926</v>
      </c>
      <c r="N390" s="18">
        <f t="shared" si="429"/>
        <v>1514</v>
      </c>
      <c r="O390" s="18">
        <f t="shared" si="429"/>
        <v>151395</v>
      </c>
      <c r="P390" s="18">
        <f t="shared" si="424"/>
        <v>90.84</v>
      </c>
      <c r="Q390" s="18">
        <f t="shared" si="425"/>
        <v>503</v>
      </c>
      <c r="R390" s="16" t="s">
        <v>934</v>
      </c>
      <c r="S390" s="4">
        <f t="shared" si="426"/>
        <v>160050032</v>
      </c>
      <c r="W390" s="4"/>
      <c r="X390" s="4"/>
      <c r="AD390" s="4" t="s">
        <v>732</v>
      </c>
      <c r="AE390" s="4">
        <v>160050094</v>
      </c>
    </row>
    <row r="391" s="2" customFormat="1" spans="1:31">
      <c r="A391" s="4">
        <v>389</v>
      </c>
      <c r="B391" s="31" t="s">
        <v>812</v>
      </c>
      <c r="C391" s="13" t="s">
        <v>714</v>
      </c>
      <c r="D391" s="25" t="s">
        <v>76</v>
      </c>
      <c r="E391" s="13">
        <v>95</v>
      </c>
      <c r="F391" s="31">
        <v>1</v>
      </c>
      <c r="G391" s="31">
        <v>2</v>
      </c>
      <c r="H391" s="6">
        <f t="shared" si="420"/>
        <v>0.97</v>
      </c>
      <c r="I391" s="4">
        <f t="shared" si="421"/>
        <v>19555</v>
      </c>
      <c r="J391" s="13">
        <f>ROUND(VLOOKUP(D391,[1]物品容器!$T$3:$U$8,2,FALSE)*M391,0)</f>
        <v>10080</v>
      </c>
      <c r="K391" s="18">
        <f t="shared" si="422"/>
        <v>9778</v>
      </c>
      <c r="L391" s="18">
        <f t="shared" ref="L391:O391" si="430">ROUND($I391*L$2,0)</f>
        <v>11733</v>
      </c>
      <c r="M391" s="19">
        <v>1.00804</v>
      </c>
      <c r="N391" s="18">
        <f t="shared" si="430"/>
        <v>2933</v>
      </c>
      <c r="O391" s="18">
        <f t="shared" si="430"/>
        <v>293325</v>
      </c>
      <c r="P391" s="18">
        <f t="shared" si="424"/>
        <v>175.995</v>
      </c>
      <c r="Q391" s="18">
        <f t="shared" si="425"/>
        <v>974</v>
      </c>
      <c r="R391" s="16" t="s">
        <v>935</v>
      </c>
      <c r="S391" s="4">
        <f t="shared" si="426"/>
        <v>160050033</v>
      </c>
      <c r="W391" s="4"/>
      <c r="X391" s="4"/>
      <c r="AD391" s="4" t="s">
        <v>735</v>
      </c>
      <c r="AE391" s="4">
        <v>160050095</v>
      </c>
    </row>
    <row r="392" s="2" customFormat="1" spans="1:31">
      <c r="A392" s="4">
        <v>390</v>
      </c>
      <c r="B392" s="31" t="s">
        <v>815</v>
      </c>
      <c r="C392" s="13" t="s">
        <v>714</v>
      </c>
      <c r="D392" s="25" t="s">
        <v>76</v>
      </c>
      <c r="E392" s="13">
        <v>96</v>
      </c>
      <c r="F392" s="31">
        <v>2</v>
      </c>
      <c r="G392" s="31">
        <v>1</v>
      </c>
      <c r="H392" s="6">
        <f t="shared" si="420"/>
        <v>0.97</v>
      </c>
      <c r="I392" s="4">
        <f t="shared" si="421"/>
        <v>19553</v>
      </c>
      <c r="J392" s="13">
        <f>ROUND(VLOOKUP(D392,[1]物品容器!$T$3:$U$8,2,FALSE)*M392,0)</f>
        <v>10079</v>
      </c>
      <c r="K392" s="18">
        <f t="shared" si="422"/>
        <v>9777</v>
      </c>
      <c r="L392" s="18">
        <f t="shared" ref="L392:O392" si="431">ROUND($I392*L$2,0)</f>
        <v>11732</v>
      </c>
      <c r="M392" s="19">
        <v>1.00787</v>
      </c>
      <c r="N392" s="18">
        <f t="shared" si="431"/>
        <v>2933</v>
      </c>
      <c r="O392" s="18">
        <f t="shared" si="431"/>
        <v>293295</v>
      </c>
      <c r="P392" s="18">
        <f t="shared" si="424"/>
        <v>175.98</v>
      </c>
      <c r="Q392" s="18">
        <f t="shared" si="425"/>
        <v>974</v>
      </c>
      <c r="R392" s="16" t="s">
        <v>936</v>
      </c>
      <c r="S392" s="4">
        <f t="shared" si="426"/>
        <v>160050034</v>
      </c>
      <c r="W392" s="4"/>
      <c r="X392" s="4"/>
      <c r="AD392" s="4" t="s">
        <v>738</v>
      </c>
      <c r="AE392" s="4">
        <v>160050096</v>
      </c>
    </row>
    <row r="393" s="2" customFormat="1" spans="1:31">
      <c r="A393" s="4">
        <v>391</v>
      </c>
      <c r="B393" s="31" t="s">
        <v>818</v>
      </c>
      <c r="C393" s="13" t="s">
        <v>714</v>
      </c>
      <c r="D393" s="25" t="s">
        <v>76</v>
      </c>
      <c r="E393" s="13">
        <v>97</v>
      </c>
      <c r="F393" s="31">
        <v>1</v>
      </c>
      <c r="G393" s="31">
        <v>1</v>
      </c>
      <c r="H393" s="6">
        <f t="shared" si="420"/>
        <v>1</v>
      </c>
      <c r="I393" s="4">
        <f t="shared" si="421"/>
        <v>9987</v>
      </c>
      <c r="J393" s="13">
        <f>ROUND(VLOOKUP(D393,[1]物品容器!$T$3:$U$8,2,FALSE)*M393,0)</f>
        <v>9987</v>
      </c>
      <c r="K393" s="18">
        <f t="shared" si="422"/>
        <v>9987</v>
      </c>
      <c r="L393" s="18">
        <f t="shared" ref="L393:O393" si="432">ROUND($I393*L$2,0)</f>
        <v>5992</v>
      </c>
      <c r="M393" s="19">
        <v>0.99865</v>
      </c>
      <c r="N393" s="18">
        <f t="shared" si="432"/>
        <v>1498</v>
      </c>
      <c r="O393" s="18">
        <f t="shared" si="432"/>
        <v>149805</v>
      </c>
      <c r="P393" s="18">
        <f t="shared" si="424"/>
        <v>89.88</v>
      </c>
      <c r="Q393" s="18">
        <f t="shared" si="425"/>
        <v>498</v>
      </c>
      <c r="R393" s="16" t="s">
        <v>937</v>
      </c>
      <c r="S393" s="4">
        <f t="shared" si="426"/>
        <v>160050035</v>
      </c>
      <c r="W393" s="4"/>
      <c r="X393" s="4"/>
      <c r="AD393" s="4" t="s">
        <v>741</v>
      </c>
      <c r="AE393" s="4">
        <v>160050097</v>
      </c>
    </row>
    <row r="394" s="2" customFormat="1" spans="1:31">
      <c r="A394" s="4">
        <v>392</v>
      </c>
      <c r="B394" s="31" t="s">
        <v>821</v>
      </c>
      <c r="C394" s="13" t="s">
        <v>714</v>
      </c>
      <c r="D394" s="25" t="s">
        <v>76</v>
      </c>
      <c r="E394" s="13">
        <v>98</v>
      </c>
      <c r="F394" s="31">
        <v>1</v>
      </c>
      <c r="G394" s="31">
        <v>1</v>
      </c>
      <c r="H394" s="6">
        <f t="shared" si="420"/>
        <v>1</v>
      </c>
      <c r="I394" s="4">
        <f t="shared" si="421"/>
        <v>9978</v>
      </c>
      <c r="J394" s="13">
        <f>ROUND(VLOOKUP(D394,[1]物品容器!$T$3:$U$8,2,FALSE)*M394,0)</f>
        <v>9978</v>
      </c>
      <c r="K394" s="18">
        <f t="shared" si="422"/>
        <v>9978</v>
      </c>
      <c r="L394" s="18">
        <f t="shared" ref="L394:O394" si="433">ROUND($I394*L$2,0)</f>
        <v>5987</v>
      </c>
      <c r="M394" s="19">
        <v>0.99776</v>
      </c>
      <c r="N394" s="18">
        <f t="shared" si="433"/>
        <v>1497</v>
      </c>
      <c r="O394" s="18">
        <f t="shared" si="433"/>
        <v>149670</v>
      </c>
      <c r="P394" s="18">
        <f t="shared" si="424"/>
        <v>89.805</v>
      </c>
      <c r="Q394" s="18">
        <f t="shared" si="425"/>
        <v>497</v>
      </c>
      <c r="R394" s="16" t="s">
        <v>938</v>
      </c>
      <c r="S394" s="4">
        <f t="shared" si="426"/>
        <v>160050036</v>
      </c>
      <c r="W394" s="4"/>
      <c r="X394" s="4"/>
      <c r="AD394" s="4" t="s">
        <v>744</v>
      </c>
      <c r="AE394" s="4">
        <v>160050098</v>
      </c>
    </row>
    <row r="395" s="2" customFormat="1" spans="1:31">
      <c r="A395" s="4">
        <v>393</v>
      </c>
      <c r="B395" s="31" t="s">
        <v>782</v>
      </c>
      <c r="C395" s="13" t="s">
        <v>714</v>
      </c>
      <c r="D395" s="26" t="s">
        <v>94</v>
      </c>
      <c r="E395" s="13">
        <v>99</v>
      </c>
      <c r="F395" s="31">
        <v>1</v>
      </c>
      <c r="G395" s="31">
        <v>1</v>
      </c>
      <c r="H395" s="6">
        <f t="shared" si="420"/>
        <v>1</v>
      </c>
      <c r="I395" s="4">
        <f t="shared" si="421"/>
        <v>3014</v>
      </c>
      <c r="J395" s="13">
        <f>ROUND(VLOOKUP(D395,[1]物品容器!$T$3:$U$8,2,FALSE)*M395,0)</f>
        <v>3014</v>
      </c>
      <c r="K395" s="18">
        <f t="shared" si="422"/>
        <v>3014</v>
      </c>
      <c r="L395" s="18">
        <f t="shared" ref="L395:O395" si="434">ROUND($I395*L$2,0)</f>
        <v>1808</v>
      </c>
      <c r="M395" s="19">
        <v>1.00462</v>
      </c>
      <c r="N395" s="18">
        <f t="shared" si="434"/>
        <v>452</v>
      </c>
      <c r="O395" s="18">
        <f t="shared" si="434"/>
        <v>45210</v>
      </c>
      <c r="P395" s="18">
        <f t="shared" si="424"/>
        <v>27.12</v>
      </c>
      <c r="Q395" s="18">
        <f t="shared" si="425"/>
        <v>150</v>
      </c>
      <c r="R395" s="16" t="s">
        <v>939</v>
      </c>
      <c r="S395" s="4">
        <f t="shared" si="426"/>
        <v>160050023</v>
      </c>
      <c r="W395" s="4"/>
      <c r="X395" s="4"/>
      <c r="AD395" s="4" t="s">
        <v>747</v>
      </c>
      <c r="AE395" s="4">
        <v>160050099</v>
      </c>
    </row>
    <row r="396" s="2" customFormat="1" spans="1:31">
      <c r="A396" s="4">
        <v>394</v>
      </c>
      <c r="B396" s="31" t="s">
        <v>785</v>
      </c>
      <c r="C396" s="13" t="s">
        <v>714</v>
      </c>
      <c r="D396" s="26" t="s">
        <v>94</v>
      </c>
      <c r="E396" s="13">
        <v>100</v>
      </c>
      <c r="F396" s="31">
        <v>1</v>
      </c>
      <c r="G396" s="31">
        <v>1</v>
      </c>
      <c r="H396" s="6">
        <f t="shared" si="420"/>
        <v>1</v>
      </c>
      <c r="I396" s="4">
        <f t="shared" si="421"/>
        <v>2995</v>
      </c>
      <c r="J396" s="13">
        <f>ROUND(VLOOKUP(D396,[1]物品容器!$T$3:$U$8,2,FALSE)*M396,0)</f>
        <v>2995</v>
      </c>
      <c r="K396" s="18">
        <f t="shared" si="422"/>
        <v>2995</v>
      </c>
      <c r="L396" s="18">
        <f t="shared" ref="L396:O396" si="435">ROUND($I396*L$2,0)</f>
        <v>1797</v>
      </c>
      <c r="M396" s="19">
        <v>0.99844</v>
      </c>
      <c r="N396" s="18">
        <f t="shared" si="435"/>
        <v>449</v>
      </c>
      <c r="O396" s="18">
        <f t="shared" si="435"/>
        <v>44925</v>
      </c>
      <c r="P396" s="18">
        <f t="shared" si="424"/>
        <v>26.955</v>
      </c>
      <c r="Q396" s="18">
        <f t="shared" si="425"/>
        <v>149</v>
      </c>
      <c r="R396" s="16" t="s">
        <v>940</v>
      </c>
      <c r="S396" s="4">
        <f t="shared" si="426"/>
        <v>160050024</v>
      </c>
      <c r="W396" s="4"/>
      <c r="X396" s="4"/>
      <c r="AD396" s="4" t="s">
        <v>750</v>
      </c>
      <c r="AE396" s="4">
        <v>160050100</v>
      </c>
    </row>
    <row r="397" s="2" customFormat="1" spans="1:31">
      <c r="A397" s="4">
        <v>395</v>
      </c>
      <c r="B397" s="31" t="s">
        <v>788</v>
      </c>
      <c r="C397" s="13" t="s">
        <v>714</v>
      </c>
      <c r="D397" s="26" t="s">
        <v>94</v>
      </c>
      <c r="E397" s="13">
        <v>101</v>
      </c>
      <c r="F397" s="31">
        <v>2</v>
      </c>
      <c r="G397" s="31">
        <v>2</v>
      </c>
      <c r="H397" s="6">
        <f t="shared" si="420"/>
        <v>0.91</v>
      </c>
      <c r="I397" s="4">
        <f t="shared" si="421"/>
        <v>10851</v>
      </c>
      <c r="J397" s="13">
        <f>ROUND(VLOOKUP(D397,[1]物品容器!$T$3:$U$8,2,FALSE)*M397,0)</f>
        <v>2981</v>
      </c>
      <c r="K397" s="18">
        <f t="shared" si="422"/>
        <v>2713</v>
      </c>
      <c r="L397" s="18">
        <f t="shared" ref="L397:O397" si="436">ROUND($I397*L$2,0)</f>
        <v>6511</v>
      </c>
      <c r="M397" s="19">
        <v>0.99378</v>
      </c>
      <c r="N397" s="18">
        <f t="shared" si="436"/>
        <v>1628</v>
      </c>
      <c r="O397" s="18">
        <f t="shared" si="436"/>
        <v>162765</v>
      </c>
      <c r="P397" s="18">
        <f t="shared" si="424"/>
        <v>97.665</v>
      </c>
      <c r="Q397" s="18">
        <f t="shared" si="425"/>
        <v>541</v>
      </c>
      <c r="R397" s="16" t="s">
        <v>941</v>
      </c>
      <c r="S397" s="4">
        <f t="shared" si="426"/>
        <v>160050025</v>
      </c>
      <c r="W397" s="4"/>
      <c r="X397" s="4"/>
      <c r="AD397" s="4" t="s">
        <v>753</v>
      </c>
      <c r="AE397" s="4">
        <v>160050101</v>
      </c>
    </row>
    <row r="398" s="2" customFormat="1" spans="1:31">
      <c r="A398" s="4">
        <v>396</v>
      </c>
      <c r="B398" s="31" t="s">
        <v>791</v>
      </c>
      <c r="C398" s="13" t="s">
        <v>714</v>
      </c>
      <c r="D398" s="26" t="s">
        <v>94</v>
      </c>
      <c r="E398" s="13">
        <v>102</v>
      </c>
      <c r="F398" s="31">
        <v>1</v>
      </c>
      <c r="G398" s="31">
        <v>2</v>
      </c>
      <c r="H398" s="6">
        <f t="shared" si="420"/>
        <v>0.97</v>
      </c>
      <c r="I398" s="4">
        <f t="shared" si="421"/>
        <v>5799</v>
      </c>
      <c r="J398" s="13">
        <f>ROUND(VLOOKUP(D398,[1]物品容器!$T$3:$U$8,2,FALSE)*M398,0)</f>
        <v>2989</v>
      </c>
      <c r="K398" s="18">
        <f t="shared" si="422"/>
        <v>2899</v>
      </c>
      <c r="L398" s="18">
        <f t="shared" ref="L398:O398" si="437">ROUND($I398*L$2,0)</f>
        <v>3479</v>
      </c>
      <c r="M398" s="19">
        <v>0.9964</v>
      </c>
      <c r="N398" s="18">
        <f t="shared" si="437"/>
        <v>870</v>
      </c>
      <c r="O398" s="18">
        <f t="shared" si="437"/>
        <v>86985</v>
      </c>
      <c r="P398" s="18">
        <f t="shared" si="424"/>
        <v>52.185</v>
      </c>
      <c r="Q398" s="18">
        <f t="shared" si="425"/>
        <v>289</v>
      </c>
      <c r="R398" s="16" t="s">
        <v>942</v>
      </c>
      <c r="S398" s="4">
        <f t="shared" si="426"/>
        <v>160050026</v>
      </c>
      <c r="W398" s="4"/>
      <c r="X398" s="4"/>
      <c r="AD398" s="4" t="s">
        <v>756</v>
      </c>
      <c r="AE398" s="4">
        <v>160050102</v>
      </c>
    </row>
    <row r="399" s="2" customFormat="1" spans="1:31">
      <c r="A399" s="4">
        <v>397</v>
      </c>
      <c r="B399" s="31" t="s">
        <v>794</v>
      </c>
      <c r="C399" s="13" t="s">
        <v>714</v>
      </c>
      <c r="D399" s="26" t="s">
        <v>94</v>
      </c>
      <c r="E399" s="13">
        <v>103</v>
      </c>
      <c r="F399" s="31">
        <v>2</v>
      </c>
      <c r="G399" s="31">
        <v>2</v>
      </c>
      <c r="H399" s="6">
        <f t="shared" si="420"/>
        <v>0.91</v>
      </c>
      <c r="I399" s="4">
        <f t="shared" si="421"/>
        <v>10902</v>
      </c>
      <c r="J399" s="13">
        <f>ROUND(VLOOKUP(D399,[1]物品容器!$T$3:$U$8,2,FALSE)*M399,0)</f>
        <v>2995</v>
      </c>
      <c r="K399" s="18">
        <f t="shared" si="422"/>
        <v>2725</v>
      </c>
      <c r="L399" s="18">
        <f t="shared" ref="L399:O399" si="438">ROUND($I399*L$2,0)</f>
        <v>6541</v>
      </c>
      <c r="M399" s="19">
        <v>0.99845</v>
      </c>
      <c r="N399" s="18">
        <f t="shared" si="438"/>
        <v>1635</v>
      </c>
      <c r="O399" s="18">
        <f t="shared" si="438"/>
        <v>163530</v>
      </c>
      <c r="P399" s="18">
        <f t="shared" si="424"/>
        <v>98.115</v>
      </c>
      <c r="Q399" s="18">
        <f t="shared" si="425"/>
        <v>543</v>
      </c>
      <c r="R399" s="16" t="s">
        <v>943</v>
      </c>
      <c r="S399" s="4">
        <f t="shared" si="426"/>
        <v>160050027</v>
      </c>
      <c r="W399" s="4"/>
      <c r="X399" s="4"/>
      <c r="AD399" s="4" t="s">
        <v>759</v>
      </c>
      <c r="AE399" s="4">
        <v>160050103</v>
      </c>
    </row>
    <row r="400" s="2" customFormat="1" spans="1:31">
      <c r="A400" s="4">
        <v>398</v>
      </c>
      <c r="B400" s="31" t="s">
        <v>797</v>
      </c>
      <c r="C400" s="13" t="s">
        <v>714</v>
      </c>
      <c r="D400" s="26" t="s">
        <v>94</v>
      </c>
      <c r="E400" s="13">
        <v>104</v>
      </c>
      <c r="F400" s="31">
        <v>2</v>
      </c>
      <c r="G400" s="31">
        <v>2</v>
      </c>
      <c r="H400" s="6">
        <f t="shared" si="420"/>
        <v>0.91</v>
      </c>
      <c r="I400" s="4">
        <f t="shared" si="421"/>
        <v>10967</v>
      </c>
      <c r="J400" s="13">
        <f>ROUND(VLOOKUP(D400,[1]物品容器!$T$3:$U$8,2,FALSE)*M400,0)</f>
        <v>3013</v>
      </c>
      <c r="K400" s="18">
        <f t="shared" si="422"/>
        <v>2742</v>
      </c>
      <c r="L400" s="18">
        <f t="shared" ref="L400:O400" si="439">ROUND($I400*L$2,0)</f>
        <v>6580</v>
      </c>
      <c r="M400" s="19">
        <v>1.00448</v>
      </c>
      <c r="N400" s="18">
        <f t="shared" si="439"/>
        <v>1645</v>
      </c>
      <c r="O400" s="18">
        <f t="shared" si="439"/>
        <v>164505</v>
      </c>
      <c r="P400" s="18">
        <f t="shared" si="424"/>
        <v>98.7</v>
      </c>
      <c r="Q400" s="18">
        <f t="shared" si="425"/>
        <v>546</v>
      </c>
      <c r="R400" s="16" t="s">
        <v>944</v>
      </c>
      <c r="S400" s="4">
        <f t="shared" si="426"/>
        <v>160050028</v>
      </c>
      <c r="W400" s="4"/>
      <c r="X400" s="4"/>
      <c r="AD400" s="4" t="s">
        <v>762</v>
      </c>
      <c r="AE400" s="4">
        <v>160050104</v>
      </c>
    </row>
    <row r="401" s="2" customFormat="1" spans="1:31">
      <c r="A401" s="4">
        <v>399</v>
      </c>
      <c r="B401" s="31" t="s">
        <v>800</v>
      </c>
      <c r="C401" s="13" t="s">
        <v>714</v>
      </c>
      <c r="D401" s="26" t="s">
        <v>94</v>
      </c>
      <c r="E401" s="13">
        <v>105</v>
      </c>
      <c r="F401" s="31">
        <v>1</v>
      </c>
      <c r="G401" s="31">
        <v>2</v>
      </c>
      <c r="H401" s="6">
        <f t="shared" si="420"/>
        <v>0.97</v>
      </c>
      <c r="I401" s="4">
        <f t="shared" si="421"/>
        <v>5841</v>
      </c>
      <c r="J401" s="13">
        <f>ROUND(VLOOKUP(D401,[1]物品容器!$T$3:$U$8,2,FALSE)*M401,0)</f>
        <v>3011</v>
      </c>
      <c r="K401" s="18">
        <f t="shared" si="422"/>
        <v>2921</v>
      </c>
      <c r="L401" s="18">
        <f t="shared" ref="L401:O401" si="440">ROUND($I401*L$2,0)</f>
        <v>3505</v>
      </c>
      <c r="M401" s="19">
        <v>1.00355</v>
      </c>
      <c r="N401" s="18">
        <f t="shared" si="440"/>
        <v>876</v>
      </c>
      <c r="O401" s="18">
        <f t="shared" si="440"/>
        <v>87615</v>
      </c>
      <c r="P401" s="18">
        <f t="shared" si="424"/>
        <v>52.575</v>
      </c>
      <c r="Q401" s="18">
        <f t="shared" si="425"/>
        <v>291</v>
      </c>
      <c r="R401" s="16" t="s">
        <v>945</v>
      </c>
      <c r="S401" s="4">
        <f t="shared" si="426"/>
        <v>160050029</v>
      </c>
      <c r="W401" s="4"/>
      <c r="X401" s="4"/>
      <c r="AD401" s="4" t="s">
        <v>765</v>
      </c>
      <c r="AE401" s="4">
        <v>160050105</v>
      </c>
    </row>
    <row r="402" s="2" customFormat="1" spans="1:31">
      <c r="A402" s="4">
        <v>400</v>
      </c>
      <c r="B402" s="31" t="s">
        <v>716</v>
      </c>
      <c r="C402" s="13" t="s">
        <v>714</v>
      </c>
      <c r="D402" s="27" t="s">
        <v>116</v>
      </c>
      <c r="E402" s="13">
        <v>106</v>
      </c>
      <c r="F402" s="31">
        <v>1</v>
      </c>
      <c r="G402" s="31">
        <v>1</v>
      </c>
      <c r="H402" s="6">
        <f t="shared" si="420"/>
        <v>1</v>
      </c>
      <c r="I402" s="4">
        <f t="shared" si="421"/>
        <v>1002</v>
      </c>
      <c r="J402" s="13">
        <f>ROUND(VLOOKUP(D402,[1]物品容器!$T$3:$U$8,2,FALSE)*M402,0)</f>
        <v>1002</v>
      </c>
      <c r="K402" s="18">
        <f t="shared" si="422"/>
        <v>1002</v>
      </c>
      <c r="L402" s="18">
        <f t="shared" ref="L402:O402" si="441">ROUND($I402*L$2,0)</f>
        <v>601</v>
      </c>
      <c r="M402" s="19">
        <v>1.00197</v>
      </c>
      <c r="N402" s="18">
        <f t="shared" si="441"/>
        <v>150</v>
      </c>
      <c r="O402" s="18">
        <f t="shared" si="441"/>
        <v>15030</v>
      </c>
      <c r="P402" s="18">
        <f t="shared" si="424"/>
        <v>9.015</v>
      </c>
      <c r="Q402" s="18">
        <f t="shared" si="425"/>
        <v>50</v>
      </c>
      <c r="R402" s="16" t="s">
        <v>946</v>
      </c>
      <c r="S402" s="4">
        <f t="shared" si="426"/>
        <v>160050001</v>
      </c>
      <c r="W402" s="4"/>
      <c r="X402" s="4"/>
      <c r="AD402" s="4" t="s">
        <v>768</v>
      </c>
      <c r="AE402" s="4">
        <v>160050106</v>
      </c>
    </row>
    <row r="403" s="2" customFormat="1" spans="1:31">
      <c r="A403" s="4">
        <v>401</v>
      </c>
      <c r="B403" s="31" t="s">
        <v>719</v>
      </c>
      <c r="C403" s="13" t="s">
        <v>714</v>
      </c>
      <c r="D403" s="27" t="s">
        <v>116</v>
      </c>
      <c r="E403" s="13">
        <v>107</v>
      </c>
      <c r="F403" s="31">
        <v>1</v>
      </c>
      <c r="G403" s="31">
        <v>1</v>
      </c>
      <c r="H403" s="6">
        <f t="shared" si="420"/>
        <v>1</v>
      </c>
      <c r="I403" s="4">
        <f t="shared" si="421"/>
        <v>995</v>
      </c>
      <c r="J403" s="13">
        <f>ROUND(VLOOKUP(D403,[1]物品容器!$T$3:$U$8,2,FALSE)*M403,0)</f>
        <v>995</v>
      </c>
      <c r="K403" s="18">
        <f t="shared" si="422"/>
        <v>995</v>
      </c>
      <c r="L403" s="18">
        <f t="shared" ref="L403:O403" si="442">ROUND($I403*L$2,0)</f>
        <v>597</v>
      </c>
      <c r="M403" s="19">
        <v>0.99478</v>
      </c>
      <c r="N403" s="18">
        <f t="shared" si="442"/>
        <v>149</v>
      </c>
      <c r="O403" s="18">
        <f t="shared" si="442"/>
        <v>14925</v>
      </c>
      <c r="P403" s="18">
        <f t="shared" si="424"/>
        <v>8.955</v>
      </c>
      <c r="Q403" s="18">
        <f t="shared" si="425"/>
        <v>50</v>
      </c>
      <c r="R403" s="16" t="s">
        <v>947</v>
      </c>
      <c r="S403" s="4">
        <f t="shared" si="426"/>
        <v>160050002</v>
      </c>
      <c r="W403" s="4"/>
      <c r="X403" s="4"/>
      <c r="AD403" s="4" t="s">
        <v>771</v>
      </c>
      <c r="AE403" s="4">
        <v>160050107</v>
      </c>
    </row>
    <row r="404" s="2" customFormat="1" spans="1:31">
      <c r="A404" s="4">
        <v>402</v>
      </c>
      <c r="B404" s="31" t="s">
        <v>722</v>
      </c>
      <c r="C404" s="13" t="s">
        <v>714</v>
      </c>
      <c r="D404" s="27" t="s">
        <v>116</v>
      </c>
      <c r="E404" s="13">
        <v>108</v>
      </c>
      <c r="F404" s="31">
        <v>1</v>
      </c>
      <c r="G404" s="31">
        <v>1</v>
      </c>
      <c r="H404" s="6">
        <f t="shared" si="420"/>
        <v>1</v>
      </c>
      <c r="I404" s="4">
        <f t="shared" si="421"/>
        <v>1005</v>
      </c>
      <c r="J404" s="13">
        <f>ROUND(VLOOKUP(D404,[1]物品容器!$T$3:$U$8,2,FALSE)*M404,0)</f>
        <v>1005</v>
      </c>
      <c r="K404" s="18">
        <f t="shared" si="422"/>
        <v>1005</v>
      </c>
      <c r="L404" s="18">
        <f t="shared" ref="L404:O404" si="443">ROUND($I404*L$2,0)</f>
        <v>603</v>
      </c>
      <c r="M404" s="19">
        <v>1.00534</v>
      </c>
      <c r="N404" s="18">
        <f t="shared" si="443"/>
        <v>151</v>
      </c>
      <c r="O404" s="18">
        <f t="shared" si="443"/>
        <v>15075</v>
      </c>
      <c r="P404" s="18">
        <f t="shared" si="424"/>
        <v>9.045</v>
      </c>
      <c r="Q404" s="18">
        <f t="shared" si="425"/>
        <v>50</v>
      </c>
      <c r="R404" s="16" t="s">
        <v>948</v>
      </c>
      <c r="S404" s="4">
        <f t="shared" si="426"/>
        <v>160050003</v>
      </c>
      <c r="W404" s="4"/>
      <c r="X404" s="4"/>
      <c r="AD404" s="4" t="s">
        <v>774</v>
      </c>
      <c r="AE404" s="4">
        <v>160050108</v>
      </c>
    </row>
    <row r="405" s="2" customFormat="1" spans="1:31">
      <c r="A405" s="4">
        <v>403</v>
      </c>
      <c r="B405" s="31" t="s">
        <v>725</v>
      </c>
      <c r="C405" s="13" t="s">
        <v>714</v>
      </c>
      <c r="D405" s="27" t="s">
        <v>116</v>
      </c>
      <c r="E405" s="13">
        <v>109</v>
      </c>
      <c r="F405" s="31">
        <v>1</v>
      </c>
      <c r="G405" s="31">
        <v>1</v>
      </c>
      <c r="H405" s="6">
        <f t="shared" si="420"/>
        <v>1</v>
      </c>
      <c r="I405" s="4">
        <f t="shared" si="421"/>
        <v>1002</v>
      </c>
      <c r="J405" s="13">
        <f>ROUND(VLOOKUP(D405,[1]物品容器!$T$3:$U$8,2,FALSE)*M405,0)</f>
        <v>1002</v>
      </c>
      <c r="K405" s="18">
        <f t="shared" si="422"/>
        <v>1002</v>
      </c>
      <c r="L405" s="18">
        <f t="shared" ref="L405:O405" si="444">ROUND($I405*L$2,0)</f>
        <v>601</v>
      </c>
      <c r="M405" s="19">
        <v>1.00163</v>
      </c>
      <c r="N405" s="18">
        <f t="shared" si="444"/>
        <v>150</v>
      </c>
      <c r="O405" s="18">
        <f t="shared" si="444"/>
        <v>15030</v>
      </c>
      <c r="P405" s="18">
        <f t="shared" si="424"/>
        <v>9.015</v>
      </c>
      <c r="Q405" s="18">
        <f t="shared" si="425"/>
        <v>50</v>
      </c>
      <c r="R405" s="16" t="s">
        <v>949</v>
      </c>
      <c r="S405" s="4">
        <f t="shared" si="426"/>
        <v>160050004</v>
      </c>
      <c r="W405" s="4"/>
      <c r="X405" s="4"/>
      <c r="AD405" s="4" t="s">
        <v>777</v>
      </c>
      <c r="AE405" s="4">
        <v>160050109</v>
      </c>
    </row>
    <row r="406" s="2" customFormat="1" spans="1:31">
      <c r="A406" s="4">
        <v>404</v>
      </c>
      <c r="B406" s="31" t="s">
        <v>728</v>
      </c>
      <c r="C406" s="13" t="s">
        <v>714</v>
      </c>
      <c r="D406" s="27" t="s">
        <v>116</v>
      </c>
      <c r="E406" s="13">
        <v>110</v>
      </c>
      <c r="F406" s="31">
        <v>1</v>
      </c>
      <c r="G406" s="31">
        <v>1</v>
      </c>
      <c r="H406" s="6">
        <f t="shared" si="420"/>
        <v>1</v>
      </c>
      <c r="I406" s="4">
        <f t="shared" si="421"/>
        <v>1000</v>
      </c>
      <c r="J406" s="13">
        <f>ROUND(VLOOKUP(D406,[1]物品容器!$T$3:$U$8,2,FALSE)*M406,0)</f>
        <v>1000</v>
      </c>
      <c r="K406" s="18">
        <f t="shared" si="422"/>
        <v>1000</v>
      </c>
      <c r="L406" s="18">
        <f t="shared" ref="L406:O406" si="445">ROUND($I406*L$2,0)</f>
        <v>600</v>
      </c>
      <c r="M406" s="19">
        <v>1.00022</v>
      </c>
      <c r="N406" s="18">
        <f t="shared" si="445"/>
        <v>150</v>
      </c>
      <c r="O406" s="18">
        <f t="shared" si="445"/>
        <v>15000</v>
      </c>
      <c r="P406" s="18">
        <f t="shared" si="424"/>
        <v>9</v>
      </c>
      <c r="Q406" s="18">
        <f t="shared" si="425"/>
        <v>50</v>
      </c>
      <c r="R406" s="16" t="s">
        <v>950</v>
      </c>
      <c r="S406" s="4">
        <f t="shared" si="426"/>
        <v>160050005</v>
      </c>
      <c r="W406" s="4"/>
      <c r="X406" s="4"/>
      <c r="AD406" s="4" t="s">
        <v>780</v>
      </c>
      <c r="AE406" s="4">
        <v>160050110</v>
      </c>
    </row>
    <row r="407" s="2" customFormat="1" spans="1:31">
      <c r="A407" s="4">
        <v>405</v>
      </c>
      <c r="B407" s="31" t="s">
        <v>731</v>
      </c>
      <c r="C407" s="13" t="s">
        <v>714</v>
      </c>
      <c r="D407" s="27" t="s">
        <v>116</v>
      </c>
      <c r="E407" s="13">
        <v>111</v>
      </c>
      <c r="F407" s="31">
        <v>1</v>
      </c>
      <c r="G407" s="31">
        <v>1</v>
      </c>
      <c r="H407" s="6">
        <f t="shared" si="420"/>
        <v>1</v>
      </c>
      <c r="I407" s="4">
        <f t="shared" si="421"/>
        <v>997</v>
      </c>
      <c r="J407" s="13">
        <f>ROUND(VLOOKUP(D407,[1]物品容器!$T$3:$U$8,2,FALSE)*M407,0)</f>
        <v>997</v>
      </c>
      <c r="K407" s="18">
        <f t="shared" si="422"/>
        <v>997</v>
      </c>
      <c r="L407" s="18">
        <f t="shared" ref="L407:O407" si="446">ROUND($I407*L$2,0)</f>
        <v>598</v>
      </c>
      <c r="M407" s="19">
        <v>0.99659</v>
      </c>
      <c r="N407" s="18">
        <f t="shared" si="446"/>
        <v>150</v>
      </c>
      <c r="O407" s="18">
        <f t="shared" si="446"/>
        <v>14955</v>
      </c>
      <c r="P407" s="18">
        <f t="shared" si="424"/>
        <v>8.97</v>
      </c>
      <c r="Q407" s="18">
        <f t="shared" si="425"/>
        <v>50</v>
      </c>
      <c r="R407" s="16" t="s">
        <v>951</v>
      </c>
      <c r="S407" s="4">
        <f t="shared" si="426"/>
        <v>160050006</v>
      </c>
      <c r="W407" s="4"/>
      <c r="X407" s="4"/>
      <c r="AD407" s="4" t="s">
        <v>783</v>
      </c>
      <c r="AE407" s="4">
        <v>160050111</v>
      </c>
    </row>
    <row r="408" s="2" customFormat="1" spans="1:31">
      <c r="A408" s="4">
        <v>406</v>
      </c>
      <c r="B408" s="31" t="s">
        <v>734</v>
      </c>
      <c r="C408" s="13" t="s">
        <v>714</v>
      </c>
      <c r="D408" s="27" t="s">
        <v>116</v>
      </c>
      <c r="E408" s="13">
        <v>112</v>
      </c>
      <c r="F408" s="31">
        <v>1</v>
      </c>
      <c r="G408" s="31">
        <v>1</v>
      </c>
      <c r="H408" s="6">
        <f t="shared" si="420"/>
        <v>1</v>
      </c>
      <c r="I408" s="4">
        <f t="shared" si="421"/>
        <v>997</v>
      </c>
      <c r="J408" s="13">
        <f>ROUND(VLOOKUP(D408,[1]物品容器!$T$3:$U$8,2,FALSE)*M408,0)</f>
        <v>997</v>
      </c>
      <c r="K408" s="18">
        <f t="shared" si="422"/>
        <v>997</v>
      </c>
      <c r="L408" s="18">
        <f t="shared" ref="L408:O408" si="447">ROUND($I408*L$2,0)</f>
        <v>598</v>
      </c>
      <c r="M408" s="19">
        <v>0.99739</v>
      </c>
      <c r="N408" s="18">
        <f t="shared" si="447"/>
        <v>150</v>
      </c>
      <c r="O408" s="18">
        <f t="shared" si="447"/>
        <v>14955</v>
      </c>
      <c r="P408" s="18">
        <f t="shared" si="424"/>
        <v>8.97</v>
      </c>
      <c r="Q408" s="18">
        <f t="shared" si="425"/>
        <v>50</v>
      </c>
      <c r="R408" s="16" t="s">
        <v>952</v>
      </c>
      <c r="S408" s="4">
        <f t="shared" si="426"/>
        <v>160050007</v>
      </c>
      <c r="W408" s="4"/>
      <c r="X408" s="4"/>
      <c r="AD408" s="4" t="s">
        <v>786</v>
      </c>
      <c r="AE408" s="4">
        <v>160050112</v>
      </c>
    </row>
    <row r="409" s="2" customFormat="1" spans="1:31">
      <c r="A409" s="4">
        <v>407</v>
      </c>
      <c r="B409" s="31" t="s">
        <v>737</v>
      </c>
      <c r="C409" s="13" t="s">
        <v>714</v>
      </c>
      <c r="D409" s="27" t="s">
        <v>116</v>
      </c>
      <c r="E409" s="13">
        <v>113</v>
      </c>
      <c r="F409" s="31">
        <v>1</v>
      </c>
      <c r="G409" s="31">
        <v>1</v>
      </c>
      <c r="H409" s="6">
        <f t="shared" si="420"/>
        <v>1</v>
      </c>
      <c r="I409" s="4">
        <f t="shared" si="421"/>
        <v>998</v>
      </c>
      <c r="J409" s="13">
        <f>ROUND(VLOOKUP(D409,[1]物品容器!$T$3:$U$8,2,FALSE)*M409,0)</f>
        <v>998</v>
      </c>
      <c r="K409" s="18">
        <f t="shared" si="422"/>
        <v>998</v>
      </c>
      <c r="L409" s="18">
        <f t="shared" ref="L409:O409" si="448">ROUND($I409*L$2,0)</f>
        <v>599</v>
      </c>
      <c r="M409" s="19">
        <v>0.99775</v>
      </c>
      <c r="N409" s="18">
        <f t="shared" si="448"/>
        <v>150</v>
      </c>
      <c r="O409" s="18">
        <f t="shared" si="448"/>
        <v>14970</v>
      </c>
      <c r="P409" s="18">
        <f t="shared" si="424"/>
        <v>8.985</v>
      </c>
      <c r="Q409" s="18">
        <f t="shared" si="425"/>
        <v>50</v>
      </c>
      <c r="R409" s="16" t="s">
        <v>953</v>
      </c>
      <c r="S409" s="4">
        <f t="shared" si="426"/>
        <v>160050008</v>
      </c>
      <c r="W409" s="4"/>
      <c r="X409" s="4"/>
      <c r="AD409" s="4" t="s">
        <v>789</v>
      </c>
      <c r="AE409" s="4">
        <v>160050113</v>
      </c>
    </row>
    <row r="410" s="2" customFormat="1" spans="1:31">
      <c r="A410" s="4">
        <v>408</v>
      </c>
      <c r="B410" s="31" t="s">
        <v>740</v>
      </c>
      <c r="C410" s="13" t="s">
        <v>714</v>
      </c>
      <c r="D410" s="27" t="s">
        <v>116</v>
      </c>
      <c r="E410" s="13">
        <v>114</v>
      </c>
      <c r="F410" s="31">
        <v>1</v>
      </c>
      <c r="G410" s="31">
        <v>1</v>
      </c>
      <c r="H410" s="6">
        <f t="shared" si="420"/>
        <v>1</v>
      </c>
      <c r="I410" s="4">
        <f t="shared" si="421"/>
        <v>1005</v>
      </c>
      <c r="J410" s="13">
        <f>ROUND(VLOOKUP(D410,[1]物品容器!$T$3:$U$8,2,FALSE)*M410,0)</f>
        <v>1005</v>
      </c>
      <c r="K410" s="18">
        <f t="shared" si="422"/>
        <v>1005</v>
      </c>
      <c r="L410" s="18">
        <f t="shared" ref="L410:O410" si="449">ROUND($I410*L$2,0)</f>
        <v>603</v>
      </c>
      <c r="M410" s="19">
        <v>1.00541</v>
      </c>
      <c r="N410" s="18">
        <f t="shared" si="449"/>
        <v>151</v>
      </c>
      <c r="O410" s="18">
        <f t="shared" si="449"/>
        <v>15075</v>
      </c>
      <c r="P410" s="18">
        <f t="shared" si="424"/>
        <v>9.045</v>
      </c>
      <c r="Q410" s="18">
        <f t="shared" si="425"/>
        <v>50</v>
      </c>
      <c r="R410" s="16" t="s">
        <v>954</v>
      </c>
      <c r="S410" s="4">
        <f t="shared" si="426"/>
        <v>160050009</v>
      </c>
      <c r="W410" s="4"/>
      <c r="X410" s="4"/>
      <c r="AD410" s="4" t="s">
        <v>792</v>
      </c>
      <c r="AE410" s="4">
        <v>160050114</v>
      </c>
    </row>
    <row r="411" s="2" customFormat="1" spans="1:31">
      <c r="A411" s="4">
        <v>409</v>
      </c>
      <c r="B411" s="31" t="s">
        <v>743</v>
      </c>
      <c r="C411" s="13" t="s">
        <v>714</v>
      </c>
      <c r="D411" s="27" t="s">
        <v>116</v>
      </c>
      <c r="E411" s="13">
        <v>115</v>
      </c>
      <c r="F411" s="31">
        <v>1</v>
      </c>
      <c r="G411" s="31">
        <v>1</v>
      </c>
      <c r="H411" s="6">
        <f t="shared" si="420"/>
        <v>1</v>
      </c>
      <c r="I411" s="4">
        <f t="shared" si="421"/>
        <v>1005</v>
      </c>
      <c r="J411" s="13">
        <f>ROUND(VLOOKUP(D411,[1]物品容器!$T$3:$U$8,2,FALSE)*M411,0)</f>
        <v>1005</v>
      </c>
      <c r="K411" s="18">
        <f t="shared" si="422"/>
        <v>1005</v>
      </c>
      <c r="L411" s="18">
        <f t="shared" ref="L411:O411" si="450">ROUND($I411*L$2,0)</f>
        <v>603</v>
      </c>
      <c r="M411" s="19">
        <v>1.00533</v>
      </c>
      <c r="N411" s="18">
        <f t="shared" si="450"/>
        <v>151</v>
      </c>
      <c r="O411" s="18">
        <f t="shared" si="450"/>
        <v>15075</v>
      </c>
      <c r="P411" s="18">
        <f t="shared" si="424"/>
        <v>9.045</v>
      </c>
      <c r="Q411" s="18">
        <f t="shared" si="425"/>
        <v>50</v>
      </c>
      <c r="R411" s="16" t="s">
        <v>955</v>
      </c>
      <c r="S411" s="4">
        <f t="shared" si="426"/>
        <v>160050010</v>
      </c>
      <c r="W411" s="4"/>
      <c r="X411" s="4"/>
      <c r="AD411" s="4" t="s">
        <v>795</v>
      </c>
      <c r="AE411" s="4">
        <v>160050115</v>
      </c>
    </row>
    <row r="412" s="2" customFormat="1" spans="1:31">
      <c r="A412" s="4">
        <v>410</v>
      </c>
      <c r="B412" s="31" t="s">
        <v>746</v>
      </c>
      <c r="C412" s="13" t="s">
        <v>714</v>
      </c>
      <c r="D412" s="27" t="s">
        <v>116</v>
      </c>
      <c r="E412" s="13">
        <v>116</v>
      </c>
      <c r="F412" s="31">
        <v>1</v>
      </c>
      <c r="G412" s="31">
        <v>1</v>
      </c>
      <c r="H412" s="6">
        <f t="shared" si="420"/>
        <v>1</v>
      </c>
      <c r="I412" s="4">
        <f t="shared" si="421"/>
        <v>992</v>
      </c>
      <c r="J412" s="13">
        <f>ROUND(VLOOKUP(D412,[1]物品容器!$T$3:$U$8,2,FALSE)*M412,0)</f>
        <v>992</v>
      </c>
      <c r="K412" s="18">
        <f t="shared" si="422"/>
        <v>992</v>
      </c>
      <c r="L412" s="18">
        <f t="shared" ref="L412:O412" si="451">ROUND($I412*L$2,0)</f>
        <v>595</v>
      </c>
      <c r="M412" s="19">
        <v>0.99215</v>
      </c>
      <c r="N412" s="18">
        <f t="shared" si="451"/>
        <v>149</v>
      </c>
      <c r="O412" s="18">
        <f t="shared" si="451"/>
        <v>14880</v>
      </c>
      <c r="P412" s="18">
        <f t="shared" si="424"/>
        <v>8.925</v>
      </c>
      <c r="Q412" s="18">
        <f t="shared" si="425"/>
        <v>49</v>
      </c>
      <c r="R412" s="16" t="s">
        <v>956</v>
      </c>
      <c r="S412" s="4">
        <f t="shared" si="426"/>
        <v>160050011</v>
      </c>
      <c r="W412" s="4"/>
      <c r="X412" s="4"/>
      <c r="AD412" s="4" t="s">
        <v>798</v>
      </c>
      <c r="AE412" s="4">
        <v>160050116</v>
      </c>
    </row>
    <row r="413" s="2" customFormat="1" spans="1:31">
      <c r="A413" s="4">
        <v>411</v>
      </c>
      <c r="B413" s="31" t="s">
        <v>749</v>
      </c>
      <c r="C413" s="13" t="s">
        <v>714</v>
      </c>
      <c r="D413" s="27" t="s">
        <v>116</v>
      </c>
      <c r="E413" s="13">
        <v>117</v>
      </c>
      <c r="F413" s="31">
        <v>1</v>
      </c>
      <c r="G413" s="31">
        <v>1</v>
      </c>
      <c r="H413" s="6">
        <f t="shared" si="420"/>
        <v>1</v>
      </c>
      <c r="I413" s="4">
        <f t="shared" si="421"/>
        <v>990</v>
      </c>
      <c r="J413" s="13">
        <f>ROUND(VLOOKUP(D413,[1]物品容器!$T$3:$U$8,2,FALSE)*M413,0)</f>
        <v>990</v>
      </c>
      <c r="K413" s="18">
        <f t="shared" si="422"/>
        <v>990</v>
      </c>
      <c r="L413" s="18">
        <f t="shared" ref="L413:O413" si="452">ROUND($I413*L$2,0)</f>
        <v>594</v>
      </c>
      <c r="M413" s="19">
        <v>0.99046</v>
      </c>
      <c r="N413" s="18">
        <f t="shared" si="452"/>
        <v>149</v>
      </c>
      <c r="O413" s="18">
        <f t="shared" si="452"/>
        <v>14850</v>
      </c>
      <c r="P413" s="18">
        <f t="shared" si="424"/>
        <v>8.91</v>
      </c>
      <c r="Q413" s="18">
        <f t="shared" si="425"/>
        <v>49</v>
      </c>
      <c r="R413" s="16" t="s">
        <v>957</v>
      </c>
      <c r="S413" s="4">
        <f t="shared" si="426"/>
        <v>160050012</v>
      </c>
      <c r="W413" s="4"/>
      <c r="X413" s="4"/>
      <c r="AD413" s="4" t="s">
        <v>801</v>
      </c>
      <c r="AE413" s="4">
        <v>160050117</v>
      </c>
    </row>
    <row r="414" s="2" customFormat="1" spans="1:31">
      <c r="A414" s="4">
        <v>412</v>
      </c>
      <c r="B414" s="31" t="s">
        <v>752</v>
      </c>
      <c r="C414" s="13" t="s">
        <v>714</v>
      </c>
      <c r="D414" s="27" t="s">
        <v>116</v>
      </c>
      <c r="E414" s="13">
        <v>118</v>
      </c>
      <c r="F414" s="31">
        <v>1</v>
      </c>
      <c r="G414" s="31">
        <v>1</v>
      </c>
      <c r="H414" s="6">
        <f t="shared" si="420"/>
        <v>1</v>
      </c>
      <c r="I414" s="4">
        <f t="shared" si="421"/>
        <v>1004</v>
      </c>
      <c r="J414" s="13">
        <f>ROUND(VLOOKUP(D414,[1]物品容器!$T$3:$U$8,2,FALSE)*M414,0)</f>
        <v>1004</v>
      </c>
      <c r="K414" s="18">
        <f t="shared" si="422"/>
        <v>1004</v>
      </c>
      <c r="L414" s="18">
        <f t="shared" ref="L414:O414" si="453">ROUND($I414*L$2,0)</f>
        <v>602</v>
      </c>
      <c r="M414" s="19">
        <v>1.0036</v>
      </c>
      <c r="N414" s="18">
        <f t="shared" si="453"/>
        <v>151</v>
      </c>
      <c r="O414" s="18">
        <f t="shared" si="453"/>
        <v>15060</v>
      </c>
      <c r="P414" s="18">
        <f t="shared" si="424"/>
        <v>9.03</v>
      </c>
      <c r="Q414" s="18">
        <f t="shared" si="425"/>
        <v>50</v>
      </c>
      <c r="R414" s="16" t="s">
        <v>958</v>
      </c>
      <c r="S414" s="4">
        <f t="shared" si="426"/>
        <v>160050013</v>
      </c>
      <c r="W414" s="4"/>
      <c r="X414" s="4"/>
      <c r="AD414" s="4" t="s">
        <v>804</v>
      </c>
      <c r="AE414" s="4">
        <v>160050118</v>
      </c>
    </row>
    <row r="415" s="2" customFormat="1" spans="1:31">
      <c r="A415" s="4">
        <v>413</v>
      </c>
      <c r="B415" s="31" t="s">
        <v>755</v>
      </c>
      <c r="C415" s="13" t="s">
        <v>714</v>
      </c>
      <c r="D415" s="27" t="s">
        <v>116</v>
      </c>
      <c r="E415" s="13">
        <v>119</v>
      </c>
      <c r="F415" s="31">
        <v>1</v>
      </c>
      <c r="G415" s="31">
        <v>1</v>
      </c>
      <c r="H415" s="6">
        <f t="shared" si="420"/>
        <v>1</v>
      </c>
      <c r="I415" s="4">
        <f t="shared" si="421"/>
        <v>994</v>
      </c>
      <c r="J415" s="13">
        <f>ROUND(VLOOKUP(D415,[1]物品容器!$T$3:$U$8,2,FALSE)*M415,0)</f>
        <v>994</v>
      </c>
      <c r="K415" s="18">
        <f t="shared" si="422"/>
        <v>994</v>
      </c>
      <c r="L415" s="18">
        <f t="shared" ref="L415:O415" si="454">ROUND($I415*L$2,0)</f>
        <v>596</v>
      </c>
      <c r="M415" s="19">
        <v>0.9942</v>
      </c>
      <c r="N415" s="18">
        <f t="shared" si="454"/>
        <v>149</v>
      </c>
      <c r="O415" s="18">
        <f t="shared" si="454"/>
        <v>14910</v>
      </c>
      <c r="P415" s="18">
        <f t="shared" si="424"/>
        <v>8.94</v>
      </c>
      <c r="Q415" s="18">
        <f t="shared" si="425"/>
        <v>50</v>
      </c>
      <c r="R415" s="16" t="s">
        <v>959</v>
      </c>
      <c r="S415" s="4">
        <f t="shared" si="426"/>
        <v>160050014</v>
      </c>
      <c r="W415" s="4"/>
      <c r="X415" s="4"/>
      <c r="AD415" s="4" t="s">
        <v>807</v>
      </c>
      <c r="AE415" s="4">
        <v>160050119</v>
      </c>
    </row>
    <row r="416" s="2" customFormat="1" spans="1:31">
      <c r="A416" s="4">
        <v>414</v>
      </c>
      <c r="B416" s="31" t="s">
        <v>758</v>
      </c>
      <c r="C416" s="13" t="s">
        <v>714</v>
      </c>
      <c r="D416" s="27" t="s">
        <v>116</v>
      </c>
      <c r="E416" s="13">
        <v>120</v>
      </c>
      <c r="F416" s="31">
        <v>1</v>
      </c>
      <c r="G416" s="31">
        <v>1</v>
      </c>
      <c r="H416" s="6">
        <f t="shared" si="420"/>
        <v>1</v>
      </c>
      <c r="I416" s="4">
        <f t="shared" si="421"/>
        <v>1009</v>
      </c>
      <c r="J416" s="13">
        <f>ROUND(VLOOKUP(D416,[1]物品容器!$T$3:$U$8,2,FALSE)*M416,0)</f>
        <v>1009</v>
      </c>
      <c r="K416" s="18">
        <f t="shared" si="422"/>
        <v>1009</v>
      </c>
      <c r="L416" s="18">
        <f t="shared" ref="L416:O416" si="455">ROUND($I416*L$2,0)</f>
        <v>605</v>
      </c>
      <c r="M416" s="19">
        <v>1.00868</v>
      </c>
      <c r="N416" s="18">
        <f t="shared" si="455"/>
        <v>151</v>
      </c>
      <c r="O416" s="18">
        <f t="shared" si="455"/>
        <v>15135</v>
      </c>
      <c r="P416" s="18">
        <f t="shared" si="424"/>
        <v>9.075</v>
      </c>
      <c r="Q416" s="18">
        <f t="shared" si="425"/>
        <v>50</v>
      </c>
      <c r="R416" s="16" t="s">
        <v>960</v>
      </c>
      <c r="S416" s="4">
        <f t="shared" si="426"/>
        <v>160050015</v>
      </c>
      <c r="W416" s="4"/>
      <c r="X416" s="4"/>
      <c r="AD416" s="4" t="s">
        <v>810</v>
      </c>
      <c r="AE416" s="4">
        <v>160050120</v>
      </c>
    </row>
    <row r="417" s="2" customFormat="1" spans="1:31">
      <c r="A417" s="4">
        <v>415</v>
      </c>
      <c r="B417" s="31" t="s">
        <v>761</v>
      </c>
      <c r="C417" s="13" t="s">
        <v>714</v>
      </c>
      <c r="D417" s="27" t="s">
        <v>116</v>
      </c>
      <c r="E417" s="13">
        <v>121</v>
      </c>
      <c r="F417" s="31">
        <v>1</v>
      </c>
      <c r="G417" s="31">
        <v>1</v>
      </c>
      <c r="H417" s="6">
        <f t="shared" si="420"/>
        <v>1</v>
      </c>
      <c r="I417" s="4">
        <f t="shared" si="421"/>
        <v>994</v>
      </c>
      <c r="J417" s="13">
        <f>ROUND(VLOOKUP(D417,[1]物品容器!$T$3:$U$8,2,FALSE)*M417,0)</f>
        <v>994</v>
      </c>
      <c r="K417" s="18">
        <f t="shared" si="422"/>
        <v>994</v>
      </c>
      <c r="L417" s="18">
        <f t="shared" ref="L417:O417" si="456">ROUND($I417*L$2,0)</f>
        <v>596</v>
      </c>
      <c r="M417" s="19">
        <v>0.99372</v>
      </c>
      <c r="N417" s="18">
        <f t="shared" si="456"/>
        <v>149</v>
      </c>
      <c r="O417" s="18">
        <f t="shared" si="456"/>
        <v>14910</v>
      </c>
      <c r="P417" s="18">
        <f t="shared" si="424"/>
        <v>8.94</v>
      </c>
      <c r="Q417" s="18">
        <f t="shared" si="425"/>
        <v>50</v>
      </c>
      <c r="R417" s="16" t="s">
        <v>961</v>
      </c>
      <c r="S417" s="4">
        <f t="shared" si="426"/>
        <v>160050016</v>
      </c>
      <c r="W417" s="4"/>
      <c r="X417" s="4"/>
      <c r="AD417" s="4" t="s">
        <v>813</v>
      </c>
      <c r="AE417" s="4">
        <v>160050121</v>
      </c>
    </row>
    <row r="418" s="2" customFormat="1" spans="1:31">
      <c r="A418" s="4">
        <v>416</v>
      </c>
      <c r="B418" s="31" t="s">
        <v>764</v>
      </c>
      <c r="C418" s="13" t="s">
        <v>714</v>
      </c>
      <c r="D418" s="27" t="s">
        <v>116</v>
      </c>
      <c r="E418" s="13">
        <v>122</v>
      </c>
      <c r="F418" s="31">
        <v>1</v>
      </c>
      <c r="G418" s="31">
        <v>1</v>
      </c>
      <c r="H418" s="6">
        <f t="shared" si="420"/>
        <v>1</v>
      </c>
      <c r="I418" s="4">
        <f t="shared" si="421"/>
        <v>992</v>
      </c>
      <c r="J418" s="13">
        <f>ROUND(VLOOKUP(D418,[1]物品容器!$T$3:$U$8,2,FALSE)*M418,0)</f>
        <v>992</v>
      </c>
      <c r="K418" s="18">
        <f t="shared" si="422"/>
        <v>992</v>
      </c>
      <c r="L418" s="18">
        <f t="shared" ref="L418:O418" si="457">ROUND($I418*L$2,0)</f>
        <v>595</v>
      </c>
      <c r="M418" s="19">
        <v>0.9916</v>
      </c>
      <c r="N418" s="18">
        <f t="shared" si="457"/>
        <v>149</v>
      </c>
      <c r="O418" s="18">
        <f t="shared" si="457"/>
        <v>14880</v>
      </c>
      <c r="P418" s="18">
        <f t="shared" si="424"/>
        <v>8.925</v>
      </c>
      <c r="Q418" s="18">
        <f t="shared" si="425"/>
        <v>49</v>
      </c>
      <c r="R418" s="16" t="s">
        <v>962</v>
      </c>
      <c r="S418" s="4">
        <f t="shared" si="426"/>
        <v>160050017</v>
      </c>
      <c r="W418" s="4"/>
      <c r="X418" s="4"/>
      <c r="AD418" s="4" t="s">
        <v>816</v>
      </c>
      <c r="AE418" s="4">
        <v>160050122</v>
      </c>
    </row>
    <row r="419" s="2" customFormat="1" spans="1:31">
      <c r="A419" s="4">
        <v>417</v>
      </c>
      <c r="B419" s="31" t="s">
        <v>767</v>
      </c>
      <c r="C419" s="13" t="s">
        <v>714</v>
      </c>
      <c r="D419" s="27" t="s">
        <v>116</v>
      </c>
      <c r="E419" s="13">
        <v>123</v>
      </c>
      <c r="F419" s="31">
        <v>1</v>
      </c>
      <c r="G419" s="31">
        <v>1</v>
      </c>
      <c r="H419" s="6">
        <f t="shared" si="420"/>
        <v>1</v>
      </c>
      <c r="I419" s="4">
        <f t="shared" si="421"/>
        <v>1010</v>
      </c>
      <c r="J419" s="13">
        <f>ROUND(VLOOKUP(D419,[1]物品容器!$T$3:$U$8,2,FALSE)*M419,0)</f>
        <v>1010</v>
      </c>
      <c r="K419" s="18">
        <f t="shared" si="422"/>
        <v>1010</v>
      </c>
      <c r="L419" s="18">
        <f t="shared" ref="L419:O419" si="458">ROUND($I419*L$2,0)</f>
        <v>606</v>
      </c>
      <c r="M419" s="19">
        <v>1.00951</v>
      </c>
      <c r="N419" s="18">
        <f t="shared" si="458"/>
        <v>152</v>
      </c>
      <c r="O419" s="18">
        <f t="shared" si="458"/>
        <v>15150</v>
      </c>
      <c r="P419" s="18">
        <f t="shared" si="424"/>
        <v>9.09</v>
      </c>
      <c r="Q419" s="18">
        <f t="shared" si="425"/>
        <v>50</v>
      </c>
      <c r="R419" s="16" t="s">
        <v>963</v>
      </c>
      <c r="S419" s="4">
        <f t="shared" si="426"/>
        <v>160050018</v>
      </c>
      <c r="W419" s="4"/>
      <c r="X419" s="4"/>
      <c r="AD419" s="4" t="s">
        <v>819</v>
      </c>
      <c r="AE419" s="4">
        <v>160050123</v>
      </c>
    </row>
    <row r="420" s="2" customFormat="1" spans="1:31">
      <c r="A420" s="4">
        <v>418</v>
      </c>
      <c r="B420" s="31" t="s">
        <v>770</v>
      </c>
      <c r="C420" s="13" t="s">
        <v>714</v>
      </c>
      <c r="D420" s="27" t="s">
        <v>116</v>
      </c>
      <c r="E420" s="13">
        <v>124</v>
      </c>
      <c r="F420" s="31">
        <v>1</v>
      </c>
      <c r="G420" s="31">
        <v>1</v>
      </c>
      <c r="H420" s="6">
        <f t="shared" si="420"/>
        <v>1</v>
      </c>
      <c r="I420" s="4">
        <f t="shared" si="421"/>
        <v>1008</v>
      </c>
      <c r="J420" s="13">
        <f>ROUND(VLOOKUP(D420,[1]物品容器!$T$3:$U$8,2,FALSE)*M420,0)</f>
        <v>1008</v>
      </c>
      <c r="K420" s="18">
        <f t="shared" si="422"/>
        <v>1008</v>
      </c>
      <c r="L420" s="18">
        <f t="shared" ref="L420:O420" si="459">ROUND($I420*L$2,0)</f>
        <v>605</v>
      </c>
      <c r="M420" s="19">
        <v>1.00845</v>
      </c>
      <c r="N420" s="18">
        <f t="shared" si="459"/>
        <v>151</v>
      </c>
      <c r="O420" s="18">
        <f t="shared" si="459"/>
        <v>15120</v>
      </c>
      <c r="P420" s="18">
        <f t="shared" si="424"/>
        <v>9.075</v>
      </c>
      <c r="Q420" s="18">
        <f t="shared" si="425"/>
        <v>50</v>
      </c>
      <c r="R420" s="16" t="s">
        <v>964</v>
      </c>
      <c r="S420" s="4">
        <f t="shared" si="426"/>
        <v>160050019</v>
      </c>
      <c r="W420" s="4"/>
      <c r="X420" s="4"/>
      <c r="AD420" s="4" t="s">
        <v>822</v>
      </c>
      <c r="AE420" s="4">
        <v>160050124</v>
      </c>
    </row>
    <row r="421" s="2" customFormat="1" spans="1:31">
      <c r="A421" s="4">
        <v>419</v>
      </c>
      <c r="B421" s="31" t="s">
        <v>773</v>
      </c>
      <c r="C421" s="13" t="s">
        <v>714</v>
      </c>
      <c r="D421" s="27" t="s">
        <v>116</v>
      </c>
      <c r="E421" s="13">
        <v>125</v>
      </c>
      <c r="F421" s="31">
        <v>1</v>
      </c>
      <c r="G421" s="31">
        <v>1</v>
      </c>
      <c r="H421" s="6">
        <f t="shared" si="420"/>
        <v>1</v>
      </c>
      <c r="I421" s="4">
        <f t="shared" si="421"/>
        <v>999</v>
      </c>
      <c r="J421" s="13">
        <f>ROUND(VLOOKUP(D421,[1]物品容器!$T$3:$U$8,2,FALSE)*M421,0)</f>
        <v>999</v>
      </c>
      <c r="K421" s="18">
        <f t="shared" si="422"/>
        <v>999</v>
      </c>
      <c r="L421" s="18">
        <f t="shared" ref="L421:O421" si="460">ROUND($I421*L$2,0)</f>
        <v>599</v>
      </c>
      <c r="M421" s="19">
        <v>0.99915</v>
      </c>
      <c r="N421" s="18">
        <f t="shared" si="460"/>
        <v>150</v>
      </c>
      <c r="O421" s="18">
        <f t="shared" si="460"/>
        <v>14985</v>
      </c>
      <c r="P421" s="18">
        <f t="shared" si="424"/>
        <v>8.985</v>
      </c>
      <c r="Q421" s="18">
        <f t="shared" si="425"/>
        <v>50</v>
      </c>
      <c r="R421" s="16" t="s">
        <v>965</v>
      </c>
      <c r="S421" s="4">
        <f t="shared" si="426"/>
        <v>160050020</v>
      </c>
      <c r="W421" s="4"/>
      <c r="X421" s="4"/>
      <c r="AD421" s="4" t="s">
        <v>825</v>
      </c>
      <c r="AE421" s="4">
        <v>160050125</v>
      </c>
    </row>
    <row r="422" s="2" customFormat="1" spans="1:31">
      <c r="A422" s="4">
        <v>420</v>
      </c>
      <c r="B422" s="31" t="s">
        <v>776</v>
      </c>
      <c r="C422" s="13" t="s">
        <v>714</v>
      </c>
      <c r="D422" s="27" t="s">
        <v>116</v>
      </c>
      <c r="E422" s="13">
        <v>126</v>
      </c>
      <c r="F422" s="31">
        <v>1</v>
      </c>
      <c r="G422" s="31">
        <v>1</v>
      </c>
      <c r="H422" s="6">
        <f t="shared" si="420"/>
        <v>1</v>
      </c>
      <c r="I422" s="4">
        <f t="shared" si="421"/>
        <v>1004</v>
      </c>
      <c r="J422" s="13">
        <f>ROUND(VLOOKUP(D422,[1]物品容器!$T$3:$U$8,2,FALSE)*M422,0)</f>
        <v>1004</v>
      </c>
      <c r="K422" s="18">
        <f t="shared" si="422"/>
        <v>1004</v>
      </c>
      <c r="L422" s="18">
        <f t="shared" ref="L422:O422" si="461">ROUND($I422*L$2,0)</f>
        <v>602</v>
      </c>
      <c r="M422" s="19">
        <v>1.00389</v>
      </c>
      <c r="N422" s="18">
        <f t="shared" si="461"/>
        <v>151</v>
      </c>
      <c r="O422" s="18">
        <f t="shared" si="461"/>
        <v>15060</v>
      </c>
      <c r="P422" s="18">
        <f t="shared" si="424"/>
        <v>9.03</v>
      </c>
      <c r="Q422" s="18">
        <f t="shared" si="425"/>
        <v>50</v>
      </c>
      <c r="R422" s="16" t="s">
        <v>966</v>
      </c>
      <c r="S422" s="4">
        <f t="shared" si="426"/>
        <v>160050021</v>
      </c>
      <c r="W422" s="4"/>
      <c r="X422" s="4"/>
      <c r="AD422" s="4" t="s">
        <v>828</v>
      </c>
      <c r="AE422" s="4">
        <v>160050126</v>
      </c>
    </row>
    <row r="423" s="2" customFormat="1" spans="1:31">
      <c r="A423" s="4">
        <v>421</v>
      </c>
      <c r="B423" s="31" t="s">
        <v>779</v>
      </c>
      <c r="C423" s="13" t="s">
        <v>714</v>
      </c>
      <c r="D423" s="27" t="s">
        <v>116</v>
      </c>
      <c r="E423" s="13">
        <v>127</v>
      </c>
      <c r="F423" s="31">
        <v>1</v>
      </c>
      <c r="G423" s="31">
        <v>1</v>
      </c>
      <c r="H423" s="6">
        <f t="shared" si="420"/>
        <v>1</v>
      </c>
      <c r="I423" s="4">
        <f t="shared" si="421"/>
        <v>1007</v>
      </c>
      <c r="J423" s="13">
        <f>ROUND(VLOOKUP(D423,[1]物品容器!$T$3:$U$8,2,FALSE)*M423,0)</f>
        <v>1007</v>
      </c>
      <c r="K423" s="18">
        <f t="shared" si="422"/>
        <v>1007</v>
      </c>
      <c r="L423" s="18">
        <f t="shared" ref="L423:O423" si="462">ROUND($I423*L$2,0)</f>
        <v>604</v>
      </c>
      <c r="M423" s="19">
        <v>1.00727</v>
      </c>
      <c r="N423" s="18">
        <f t="shared" si="462"/>
        <v>151</v>
      </c>
      <c r="O423" s="18">
        <f t="shared" si="462"/>
        <v>15105</v>
      </c>
      <c r="P423" s="18">
        <f t="shared" si="424"/>
        <v>9.06</v>
      </c>
      <c r="Q423" s="18">
        <f t="shared" si="425"/>
        <v>50</v>
      </c>
      <c r="R423" s="16" t="s">
        <v>967</v>
      </c>
      <c r="S423" s="4">
        <f t="shared" si="426"/>
        <v>160050022</v>
      </c>
      <c r="W423" s="4"/>
      <c r="X423" s="4"/>
      <c r="AD423" s="4" t="s">
        <v>831</v>
      </c>
      <c r="AE423" s="4">
        <v>160050127</v>
      </c>
    </row>
    <row r="424" s="2" customFormat="1" spans="1:31">
      <c r="A424" s="4">
        <v>422</v>
      </c>
      <c r="B424" s="5" t="s">
        <v>968</v>
      </c>
      <c r="C424" s="4" t="s">
        <v>969</v>
      </c>
      <c r="D424" s="17" t="s">
        <v>26</v>
      </c>
      <c r="E424" s="4">
        <v>1</v>
      </c>
      <c r="F424" s="5">
        <v>5</v>
      </c>
      <c r="G424" s="5">
        <v>2</v>
      </c>
      <c r="H424" s="6">
        <f t="shared" si="420"/>
        <v>0.75</v>
      </c>
      <c r="I424" s="4">
        <f t="shared" si="421"/>
        <v>1130963</v>
      </c>
      <c r="J424" s="22">
        <f>ROUND(VLOOKUP(D424,[1]物品容器!$T$3:$U$8,2,FALSE)*M424,0)*0.5</f>
        <v>150795</v>
      </c>
      <c r="K424" s="18">
        <f t="shared" si="422"/>
        <v>113096</v>
      </c>
      <c r="L424" s="18">
        <f t="shared" ref="L424:O424" si="463">ROUND($I424*L$2,0)</f>
        <v>678578</v>
      </c>
      <c r="M424" s="7">
        <v>1.0053</v>
      </c>
      <c r="N424" s="18">
        <f t="shared" si="463"/>
        <v>169644</v>
      </c>
      <c r="O424" s="18">
        <f t="shared" si="463"/>
        <v>16964445</v>
      </c>
      <c r="P424" s="18">
        <f t="shared" si="424"/>
        <v>10178.67</v>
      </c>
      <c r="Q424" s="18">
        <f t="shared" si="425"/>
        <v>56355</v>
      </c>
      <c r="R424" s="2" t="s">
        <v>970</v>
      </c>
      <c r="S424" s="4">
        <f t="shared" si="426"/>
        <v>230010500</v>
      </c>
      <c r="W424" s="4"/>
      <c r="X424" s="4"/>
      <c r="AD424" s="4" t="s">
        <v>261</v>
      </c>
      <c r="AE424" s="4">
        <v>160060001</v>
      </c>
    </row>
    <row r="425" s="2" customFormat="1" spans="1:31">
      <c r="A425" s="4">
        <v>423</v>
      </c>
      <c r="B425" s="5" t="s">
        <v>971</v>
      </c>
      <c r="C425" s="4" t="s">
        <v>969</v>
      </c>
      <c r="D425" s="17" t="s">
        <v>26</v>
      </c>
      <c r="E425" s="4">
        <v>2</v>
      </c>
      <c r="F425" s="5">
        <v>4</v>
      </c>
      <c r="G425" s="5">
        <v>2</v>
      </c>
      <c r="H425" s="6">
        <f t="shared" si="420"/>
        <v>0.84</v>
      </c>
      <c r="I425" s="4">
        <f t="shared" si="421"/>
        <v>1014149</v>
      </c>
      <c r="J425" s="22">
        <f>ROUND(VLOOKUP(D425,[1]物品容器!$T$3:$U$8,2,FALSE)*M425,0)*0.5</f>
        <v>150915</v>
      </c>
      <c r="K425" s="18">
        <f t="shared" si="422"/>
        <v>126769</v>
      </c>
      <c r="L425" s="18">
        <f t="shared" ref="L425:O425" si="464">ROUND($I425*L$2,0)</f>
        <v>608489</v>
      </c>
      <c r="M425" s="7">
        <v>1.0061</v>
      </c>
      <c r="N425" s="18">
        <f t="shared" si="464"/>
        <v>152122</v>
      </c>
      <c r="O425" s="18">
        <f t="shared" si="464"/>
        <v>15212235</v>
      </c>
      <c r="P425" s="18">
        <f t="shared" si="424"/>
        <v>9127.335</v>
      </c>
      <c r="Q425" s="18">
        <f t="shared" si="425"/>
        <v>50534</v>
      </c>
      <c r="R425" s="2" t="s">
        <v>972</v>
      </c>
      <c r="S425" s="4">
        <f t="shared" si="426"/>
        <v>230070500</v>
      </c>
      <c r="W425" s="4"/>
      <c r="X425" s="4"/>
      <c r="AD425" s="4" t="s">
        <v>267</v>
      </c>
      <c r="AE425" s="4">
        <v>160060002</v>
      </c>
    </row>
    <row r="426" s="2" customFormat="1" spans="1:31">
      <c r="A426" s="4">
        <v>424</v>
      </c>
      <c r="B426" s="5" t="s">
        <v>973</v>
      </c>
      <c r="C426" s="4" t="s">
        <v>969</v>
      </c>
      <c r="D426" s="17" t="s">
        <v>26</v>
      </c>
      <c r="E426" s="4">
        <v>3</v>
      </c>
      <c r="F426" s="5">
        <v>5</v>
      </c>
      <c r="G426" s="5">
        <v>2</v>
      </c>
      <c r="H426" s="6">
        <f t="shared" si="420"/>
        <v>0.75</v>
      </c>
      <c r="I426" s="4">
        <f t="shared" si="421"/>
        <v>1134900</v>
      </c>
      <c r="J426" s="22">
        <f>ROUND(VLOOKUP(D426,[1]物品容器!$T$3:$U$8,2,FALSE)*M426,0)*0.5</f>
        <v>151320</v>
      </c>
      <c r="K426" s="18">
        <f t="shared" si="422"/>
        <v>113490</v>
      </c>
      <c r="L426" s="18">
        <f t="shared" ref="L426:O426" si="465">ROUND($I426*L$2,0)</f>
        <v>680940</v>
      </c>
      <c r="M426" s="7">
        <v>1.0088</v>
      </c>
      <c r="N426" s="18">
        <f t="shared" si="465"/>
        <v>170235</v>
      </c>
      <c r="O426" s="18">
        <f t="shared" si="465"/>
        <v>17023500</v>
      </c>
      <c r="P426" s="18">
        <f t="shared" si="424"/>
        <v>10214.1</v>
      </c>
      <c r="Q426" s="18">
        <f t="shared" si="425"/>
        <v>56551</v>
      </c>
      <c r="R426" s="2" t="s">
        <v>974</v>
      </c>
      <c r="S426" s="4">
        <f t="shared" si="426"/>
        <v>230030500</v>
      </c>
      <c r="W426" s="4"/>
      <c r="X426" s="4"/>
      <c r="AD426" s="4" t="s">
        <v>273</v>
      </c>
      <c r="AE426" s="4">
        <v>160060003</v>
      </c>
    </row>
    <row r="427" s="2" customFormat="1" spans="1:31">
      <c r="A427" s="4">
        <v>425</v>
      </c>
      <c r="B427" s="5" t="s">
        <v>975</v>
      </c>
      <c r="C427" s="4" t="s">
        <v>969</v>
      </c>
      <c r="D427" s="17" t="s">
        <v>26</v>
      </c>
      <c r="E427" s="4">
        <v>4</v>
      </c>
      <c r="F427" s="5">
        <v>4</v>
      </c>
      <c r="G427" s="5">
        <v>2</v>
      </c>
      <c r="H427" s="6">
        <f t="shared" si="420"/>
        <v>0.84</v>
      </c>
      <c r="I427" s="4">
        <f t="shared" si="421"/>
        <v>1007698</v>
      </c>
      <c r="J427" s="22">
        <f>ROUND(VLOOKUP(D427,[1]物品容器!$T$3:$U$8,2,FALSE)*M427,0)*0.5</f>
        <v>149955</v>
      </c>
      <c r="K427" s="18">
        <f t="shared" si="422"/>
        <v>125962</v>
      </c>
      <c r="L427" s="18">
        <f t="shared" ref="L427:O427" si="466">ROUND($I427*L$2,0)</f>
        <v>604619</v>
      </c>
      <c r="M427" s="7">
        <v>0.9997</v>
      </c>
      <c r="N427" s="18">
        <f t="shared" si="466"/>
        <v>151155</v>
      </c>
      <c r="O427" s="18">
        <f t="shared" si="466"/>
        <v>15115470</v>
      </c>
      <c r="P427" s="18">
        <f t="shared" si="424"/>
        <v>9069.285</v>
      </c>
      <c r="Q427" s="18">
        <f t="shared" si="425"/>
        <v>50212</v>
      </c>
      <c r="R427" s="2" t="s">
        <v>976</v>
      </c>
      <c r="S427" s="4">
        <f t="shared" si="426"/>
        <v>230050500</v>
      </c>
      <c r="W427" s="4"/>
      <c r="X427" s="4"/>
      <c r="AD427" s="4" t="s">
        <v>276</v>
      </c>
      <c r="AE427" s="4">
        <v>160060004</v>
      </c>
    </row>
    <row r="428" s="2" customFormat="1" spans="1:31">
      <c r="A428" s="4">
        <v>426</v>
      </c>
      <c r="B428" s="5" t="s">
        <v>977</v>
      </c>
      <c r="C428" s="4" t="s">
        <v>969</v>
      </c>
      <c r="D428" s="17" t="s">
        <v>26</v>
      </c>
      <c r="E428" s="4">
        <v>5</v>
      </c>
      <c r="F428" s="5">
        <v>3</v>
      </c>
      <c r="G428" s="5">
        <v>3</v>
      </c>
      <c r="H428" s="6">
        <f t="shared" si="420"/>
        <v>0.8</v>
      </c>
      <c r="I428" s="4">
        <f t="shared" si="421"/>
        <v>1081296</v>
      </c>
      <c r="J428" s="22">
        <f>ROUND(VLOOKUP(D428,[1]物品容器!$T$3:$U$8,2,FALSE)*M428,0)*0.5</f>
        <v>150180</v>
      </c>
      <c r="K428" s="18">
        <f t="shared" si="422"/>
        <v>120144</v>
      </c>
      <c r="L428" s="18">
        <f t="shared" ref="L428:O428" si="467">ROUND($I428*L$2,0)</f>
        <v>648778</v>
      </c>
      <c r="M428" s="7">
        <v>1.0012</v>
      </c>
      <c r="N428" s="18">
        <f t="shared" si="467"/>
        <v>162194</v>
      </c>
      <c r="O428" s="18">
        <f t="shared" si="467"/>
        <v>16219440</v>
      </c>
      <c r="P428" s="18">
        <f t="shared" si="424"/>
        <v>9731.67</v>
      </c>
      <c r="Q428" s="18">
        <f t="shared" si="425"/>
        <v>53880</v>
      </c>
      <c r="R428" s="2" t="s">
        <v>978</v>
      </c>
      <c r="S428" s="4">
        <f t="shared" si="426"/>
        <v>230060500</v>
      </c>
      <c r="W428" s="4"/>
      <c r="X428" s="4"/>
      <c r="AD428" s="4" t="s">
        <v>279</v>
      </c>
      <c r="AE428" s="4">
        <v>160060005</v>
      </c>
    </row>
    <row r="429" s="2" customFormat="1" spans="1:31">
      <c r="A429" s="4">
        <v>427</v>
      </c>
      <c r="B429" s="5" t="s">
        <v>979</v>
      </c>
      <c r="C429" s="4" t="s">
        <v>969</v>
      </c>
      <c r="D429" s="17" t="s">
        <v>26</v>
      </c>
      <c r="E429" s="4">
        <v>6</v>
      </c>
      <c r="F429" s="5">
        <v>4</v>
      </c>
      <c r="G429" s="5">
        <v>2</v>
      </c>
      <c r="H429" s="6">
        <f t="shared" si="420"/>
        <v>0.84</v>
      </c>
      <c r="I429" s="4">
        <f t="shared" si="421"/>
        <v>1017778</v>
      </c>
      <c r="J429" s="22">
        <f>ROUND(VLOOKUP(D429,[1]物品容器!$T$3:$U$8,2,FALSE)*M429,0)*0.5</f>
        <v>151455</v>
      </c>
      <c r="K429" s="18">
        <f t="shared" si="422"/>
        <v>127222</v>
      </c>
      <c r="L429" s="18">
        <f t="shared" ref="L429:O429" si="468">ROUND($I429*L$2,0)</f>
        <v>610667</v>
      </c>
      <c r="M429" s="7">
        <v>1.0097</v>
      </c>
      <c r="N429" s="18">
        <f t="shared" si="468"/>
        <v>152667</v>
      </c>
      <c r="O429" s="18">
        <f t="shared" si="468"/>
        <v>15266670</v>
      </c>
      <c r="P429" s="18">
        <f t="shared" si="424"/>
        <v>9160.005</v>
      </c>
      <c r="Q429" s="18">
        <f t="shared" si="425"/>
        <v>50715</v>
      </c>
      <c r="R429" s="2" t="s">
        <v>980</v>
      </c>
      <c r="S429" s="4">
        <f t="shared" si="426"/>
        <v>230020500</v>
      </c>
      <c r="W429" s="4"/>
      <c r="X429" s="4"/>
      <c r="AD429" s="4" t="s">
        <v>981</v>
      </c>
      <c r="AE429" s="4">
        <v>160060006</v>
      </c>
    </row>
    <row r="430" s="2" customFormat="1" spans="1:31">
      <c r="A430" s="4">
        <v>428</v>
      </c>
      <c r="B430" s="5" t="s">
        <v>982</v>
      </c>
      <c r="C430" s="4" t="s">
        <v>969</v>
      </c>
      <c r="D430" s="17" t="s">
        <v>26</v>
      </c>
      <c r="E430" s="4">
        <v>7</v>
      </c>
      <c r="F430" s="5">
        <v>4</v>
      </c>
      <c r="G430" s="5">
        <v>2</v>
      </c>
      <c r="H430" s="6">
        <f t="shared" si="420"/>
        <v>0.84</v>
      </c>
      <c r="I430" s="4">
        <f t="shared" si="421"/>
        <v>1003565</v>
      </c>
      <c r="J430" s="22">
        <f>ROUND(VLOOKUP(D430,[1]物品容器!$T$3:$U$8,2,FALSE)*M430,0)*0.5</f>
        <v>149340</v>
      </c>
      <c r="K430" s="18">
        <f t="shared" si="422"/>
        <v>125446</v>
      </c>
      <c r="L430" s="18">
        <f t="shared" ref="L430:O430" si="469">ROUND($I430*L$2,0)</f>
        <v>602139</v>
      </c>
      <c r="M430" s="7">
        <v>0.9956</v>
      </c>
      <c r="N430" s="18">
        <f t="shared" si="469"/>
        <v>150535</v>
      </c>
      <c r="O430" s="18">
        <f t="shared" si="469"/>
        <v>15053475</v>
      </c>
      <c r="P430" s="18">
        <f t="shared" si="424"/>
        <v>9032.085</v>
      </c>
      <c r="Q430" s="18">
        <f t="shared" si="425"/>
        <v>50007</v>
      </c>
      <c r="R430" s="2" t="s">
        <v>983</v>
      </c>
      <c r="S430" s="4">
        <f t="shared" si="426"/>
        <v>230040500</v>
      </c>
      <c r="W430" s="4"/>
      <c r="X430" s="4"/>
      <c r="AD430" s="4" t="s">
        <v>264</v>
      </c>
      <c r="AE430" s="4">
        <v>160060007</v>
      </c>
    </row>
    <row r="431" s="2" customFormat="1" spans="1:31">
      <c r="A431" s="4">
        <v>429</v>
      </c>
      <c r="B431" s="5" t="s">
        <v>984</v>
      </c>
      <c r="C431" s="4" t="s">
        <v>969</v>
      </c>
      <c r="D431" s="22" t="s">
        <v>41</v>
      </c>
      <c r="E431" s="4">
        <v>8</v>
      </c>
      <c r="F431" s="5">
        <v>5</v>
      </c>
      <c r="G431" s="5">
        <v>2</v>
      </c>
      <c r="H431" s="6">
        <f t="shared" si="420"/>
        <v>0.75</v>
      </c>
      <c r="I431" s="4">
        <f t="shared" si="421"/>
        <v>375413</v>
      </c>
      <c r="J431" s="22">
        <f>ROUND(VLOOKUP(D431,[1]物品容器!$T$3:$U$8,2,FALSE)*M431,0)*0.5</f>
        <v>50055</v>
      </c>
      <c r="K431" s="18">
        <f t="shared" si="422"/>
        <v>37541</v>
      </c>
      <c r="L431" s="18">
        <f t="shared" ref="L431:O431" si="470">ROUND($I431*L$2,0)</f>
        <v>225248</v>
      </c>
      <c r="M431" s="7">
        <v>1.0011</v>
      </c>
      <c r="N431" s="18">
        <f t="shared" si="470"/>
        <v>56312</v>
      </c>
      <c r="O431" s="18">
        <f t="shared" si="470"/>
        <v>5631195</v>
      </c>
      <c r="P431" s="18">
        <f t="shared" si="424"/>
        <v>3378.72</v>
      </c>
      <c r="Q431" s="18">
        <f t="shared" si="425"/>
        <v>18706</v>
      </c>
      <c r="R431" s="2" t="s">
        <v>970</v>
      </c>
      <c r="S431" s="4">
        <f t="shared" si="426"/>
        <v>230010400</v>
      </c>
      <c r="W431" s="4"/>
      <c r="X431" s="4"/>
      <c r="AD431" s="4" t="s">
        <v>270</v>
      </c>
      <c r="AE431" s="4">
        <v>160060008</v>
      </c>
    </row>
    <row r="432" s="2" customFormat="1" spans="1:31">
      <c r="A432" s="4">
        <v>430</v>
      </c>
      <c r="B432" s="5" t="s">
        <v>985</v>
      </c>
      <c r="C432" s="4" t="s">
        <v>969</v>
      </c>
      <c r="D432" s="22" t="s">
        <v>41</v>
      </c>
      <c r="E432" s="4">
        <v>9</v>
      </c>
      <c r="F432" s="5">
        <v>4</v>
      </c>
      <c r="G432" s="5">
        <v>2</v>
      </c>
      <c r="H432" s="6">
        <f t="shared" si="420"/>
        <v>0.84</v>
      </c>
      <c r="I432" s="4">
        <f t="shared" si="421"/>
        <v>336000</v>
      </c>
      <c r="J432" s="22">
        <f>ROUND(VLOOKUP(D432,[1]物品容器!$T$3:$U$8,2,FALSE)*M432,0)*0.5</f>
        <v>50000</v>
      </c>
      <c r="K432" s="18">
        <f t="shared" si="422"/>
        <v>42000</v>
      </c>
      <c r="L432" s="18">
        <f t="shared" ref="L432:O432" si="471">ROUND($I432*L$2,0)</f>
        <v>201600</v>
      </c>
      <c r="M432" s="7">
        <v>1</v>
      </c>
      <c r="N432" s="18">
        <f t="shared" si="471"/>
        <v>50400</v>
      </c>
      <c r="O432" s="18">
        <f t="shared" si="471"/>
        <v>5040000</v>
      </c>
      <c r="P432" s="18">
        <f t="shared" si="424"/>
        <v>3024</v>
      </c>
      <c r="Q432" s="18">
        <f t="shared" si="425"/>
        <v>16743</v>
      </c>
      <c r="R432" s="2" t="s">
        <v>972</v>
      </c>
      <c r="S432" s="4">
        <f t="shared" si="426"/>
        <v>230070400</v>
      </c>
      <c r="W432" s="4"/>
      <c r="X432" s="4"/>
      <c r="AD432" s="4" t="s">
        <v>986</v>
      </c>
      <c r="AE432" s="4">
        <v>160060009</v>
      </c>
    </row>
    <row r="433" s="2" customFormat="1" spans="1:31">
      <c r="A433" s="4">
        <v>431</v>
      </c>
      <c r="B433" s="5" t="s">
        <v>987</v>
      </c>
      <c r="C433" s="4" t="s">
        <v>969</v>
      </c>
      <c r="D433" s="22" t="s">
        <v>41</v>
      </c>
      <c r="E433" s="4">
        <v>10</v>
      </c>
      <c r="F433" s="5">
        <v>5</v>
      </c>
      <c r="G433" s="5">
        <v>2</v>
      </c>
      <c r="H433" s="6">
        <f t="shared" si="420"/>
        <v>0.75</v>
      </c>
      <c r="I433" s="4">
        <f t="shared" si="421"/>
        <v>378000</v>
      </c>
      <c r="J433" s="22">
        <f>ROUND(VLOOKUP(D433,[1]物品容器!$T$3:$U$8,2,FALSE)*M433,0)*0.5</f>
        <v>50400</v>
      </c>
      <c r="K433" s="18">
        <f t="shared" si="422"/>
        <v>37800</v>
      </c>
      <c r="L433" s="18">
        <f t="shared" ref="L433:O433" si="472">ROUND($I433*L$2,0)</f>
        <v>226800</v>
      </c>
      <c r="M433" s="7">
        <v>1.008</v>
      </c>
      <c r="N433" s="18">
        <f t="shared" si="472"/>
        <v>56700</v>
      </c>
      <c r="O433" s="18">
        <f t="shared" si="472"/>
        <v>5670000</v>
      </c>
      <c r="P433" s="18">
        <f t="shared" si="424"/>
        <v>3402</v>
      </c>
      <c r="Q433" s="18">
        <f t="shared" si="425"/>
        <v>18835</v>
      </c>
      <c r="R433" s="2" t="s">
        <v>974</v>
      </c>
      <c r="S433" s="4">
        <f t="shared" si="426"/>
        <v>230030400</v>
      </c>
      <c r="W433" s="4"/>
      <c r="X433" s="4"/>
      <c r="AD433" s="4" t="s">
        <v>988</v>
      </c>
      <c r="AE433" s="4">
        <v>160060010</v>
      </c>
    </row>
    <row r="434" s="2" customFormat="1" spans="1:31">
      <c r="A434" s="4">
        <v>432</v>
      </c>
      <c r="B434" s="5" t="s">
        <v>989</v>
      </c>
      <c r="C434" s="4" t="s">
        <v>969</v>
      </c>
      <c r="D434" s="22" t="s">
        <v>41</v>
      </c>
      <c r="E434" s="4">
        <v>11</v>
      </c>
      <c r="F434" s="5">
        <v>4</v>
      </c>
      <c r="G434" s="5">
        <v>2</v>
      </c>
      <c r="H434" s="6">
        <f t="shared" si="420"/>
        <v>0.84</v>
      </c>
      <c r="I434" s="4">
        <f t="shared" si="421"/>
        <v>337915</v>
      </c>
      <c r="J434" s="22">
        <f>ROUND(VLOOKUP(D434,[1]物品容器!$T$3:$U$8,2,FALSE)*M434,0)*0.5</f>
        <v>50285</v>
      </c>
      <c r="K434" s="18">
        <f t="shared" si="422"/>
        <v>42239</v>
      </c>
      <c r="L434" s="18">
        <f t="shared" ref="L434:O434" si="473">ROUND($I434*L$2,0)</f>
        <v>202749</v>
      </c>
      <c r="M434" s="7">
        <v>1.0057</v>
      </c>
      <c r="N434" s="18">
        <f t="shared" si="473"/>
        <v>50687</v>
      </c>
      <c r="O434" s="18">
        <f t="shared" si="473"/>
        <v>5068725</v>
      </c>
      <c r="P434" s="18">
        <f t="shared" si="424"/>
        <v>3041.235</v>
      </c>
      <c r="Q434" s="18">
        <f t="shared" si="425"/>
        <v>16838</v>
      </c>
      <c r="R434" s="2" t="s">
        <v>976</v>
      </c>
      <c r="S434" s="4">
        <f t="shared" si="426"/>
        <v>230050400</v>
      </c>
      <c r="W434" s="4"/>
      <c r="X434" s="4"/>
      <c r="AD434" s="4" t="s">
        <v>990</v>
      </c>
      <c r="AE434" s="4">
        <v>160060011</v>
      </c>
    </row>
    <row r="435" s="2" customFormat="1" spans="1:31">
      <c r="A435" s="4">
        <v>433</v>
      </c>
      <c r="B435" s="5" t="s">
        <v>991</v>
      </c>
      <c r="C435" s="4" t="s">
        <v>969</v>
      </c>
      <c r="D435" s="22" t="s">
        <v>41</v>
      </c>
      <c r="E435" s="4">
        <v>12</v>
      </c>
      <c r="F435" s="5">
        <v>3</v>
      </c>
      <c r="G435" s="5">
        <v>3</v>
      </c>
      <c r="H435" s="6">
        <f t="shared" si="420"/>
        <v>0.8</v>
      </c>
      <c r="I435" s="4">
        <f t="shared" si="421"/>
        <v>362052</v>
      </c>
      <c r="J435" s="22">
        <f>ROUND(VLOOKUP(D435,[1]物品容器!$T$3:$U$8,2,FALSE)*M435,0)*0.5</f>
        <v>50285</v>
      </c>
      <c r="K435" s="18">
        <f t="shared" si="422"/>
        <v>40228</v>
      </c>
      <c r="L435" s="18">
        <f t="shared" ref="L435:O435" si="474">ROUND($I435*L$2,0)</f>
        <v>217231</v>
      </c>
      <c r="M435" s="7">
        <v>1.0057</v>
      </c>
      <c r="N435" s="18">
        <f t="shared" si="474"/>
        <v>54308</v>
      </c>
      <c r="O435" s="18">
        <f t="shared" si="474"/>
        <v>5430780</v>
      </c>
      <c r="P435" s="18">
        <f t="shared" si="424"/>
        <v>3258.465</v>
      </c>
      <c r="Q435" s="18">
        <f t="shared" si="425"/>
        <v>18041</v>
      </c>
      <c r="R435" s="2" t="s">
        <v>978</v>
      </c>
      <c r="S435" s="4">
        <f t="shared" si="426"/>
        <v>230060400</v>
      </c>
      <c r="W435" s="4"/>
      <c r="X435" s="4"/>
      <c r="AD435" s="4" t="s">
        <v>992</v>
      </c>
      <c r="AE435" s="4">
        <v>160060012</v>
      </c>
    </row>
    <row r="436" s="2" customFormat="1" spans="1:31">
      <c r="A436" s="4">
        <v>434</v>
      </c>
      <c r="B436" s="5" t="s">
        <v>993</v>
      </c>
      <c r="C436" s="4" t="s">
        <v>969</v>
      </c>
      <c r="D436" s="22" t="s">
        <v>41</v>
      </c>
      <c r="E436" s="4">
        <v>13</v>
      </c>
      <c r="F436" s="5">
        <v>4</v>
      </c>
      <c r="G436" s="5">
        <v>2</v>
      </c>
      <c r="H436" s="6">
        <f t="shared" si="420"/>
        <v>0.84</v>
      </c>
      <c r="I436" s="4">
        <f t="shared" si="421"/>
        <v>338083</v>
      </c>
      <c r="J436" s="22">
        <f>ROUND(VLOOKUP(D436,[1]物品容器!$T$3:$U$8,2,FALSE)*M436,0)*0.5</f>
        <v>50310</v>
      </c>
      <c r="K436" s="18">
        <f t="shared" si="422"/>
        <v>42260</v>
      </c>
      <c r="L436" s="18">
        <f t="shared" ref="L436:O436" si="475">ROUND($I436*L$2,0)</f>
        <v>202850</v>
      </c>
      <c r="M436" s="7">
        <v>1.0062</v>
      </c>
      <c r="N436" s="18">
        <f t="shared" si="475"/>
        <v>50712</v>
      </c>
      <c r="O436" s="18">
        <f t="shared" si="475"/>
        <v>5071245</v>
      </c>
      <c r="P436" s="18">
        <f t="shared" si="424"/>
        <v>3042.75</v>
      </c>
      <c r="Q436" s="18">
        <f t="shared" si="425"/>
        <v>16846</v>
      </c>
      <c r="R436" s="2" t="s">
        <v>980</v>
      </c>
      <c r="S436" s="4">
        <f t="shared" si="426"/>
        <v>230020400</v>
      </c>
      <c r="W436" s="4"/>
      <c r="X436" s="4"/>
      <c r="AD436" s="4" t="s">
        <v>222</v>
      </c>
      <c r="AE436" s="4">
        <v>160060013</v>
      </c>
    </row>
    <row r="437" s="2" customFormat="1" spans="1:31">
      <c r="A437" s="4">
        <v>435</v>
      </c>
      <c r="B437" s="5" t="s">
        <v>994</v>
      </c>
      <c r="C437" s="4" t="s">
        <v>969</v>
      </c>
      <c r="D437" s="22" t="s">
        <v>41</v>
      </c>
      <c r="E437" s="4">
        <v>14</v>
      </c>
      <c r="F437" s="5">
        <v>4</v>
      </c>
      <c r="G437" s="5">
        <v>2</v>
      </c>
      <c r="H437" s="6">
        <f t="shared" si="420"/>
        <v>0.84</v>
      </c>
      <c r="I437" s="4">
        <f t="shared" si="421"/>
        <v>338016</v>
      </c>
      <c r="J437" s="22">
        <f>ROUND(VLOOKUP(D437,[1]物品容器!$T$3:$U$8,2,FALSE)*M437,0)*0.5</f>
        <v>50300</v>
      </c>
      <c r="K437" s="18">
        <f t="shared" si="422"/>
        <v>42252</v>
      </c>
      <c r="L437" s="18">
        <f t="shared" ref="L437:O437" si="476">ROUND($I437*L$2,0)</f>
        <v>202810</v>
      </c>
      <c r="M437" s="7">
        <v>1.006</v>
      </c>
      <c r="N437" s="18">
        <f t="shared" si="476"/>
        <v>50702</v>
      </c>
      <c r="O437" s="18">
        <f t="shared" si="476"/>
        <v>5070240</v>
      </c>
      <c r="P437" s="18">
        <f t="shared" si="424"/>
        <v>3042.15</v>
      </c>
      <c r="Q437" s="18">
        <f t="shared" si="425"/>
        <v>16843</v>
      </c>
      <c r="R437" s="2" t="s">
        <v>983</v>
      </c>
      <c r="S437" s="4">
        <f t="shared" si="426"/>
        <v>230040400</v>
      </c>
      <c r="W437" s="4"/>
      <c r="X437" s="4"/>
      <c r="AD437" s="4" t="s">
        <v>225</v>
      </c>
      <c r="AE437" s="4">
        <v>160060014</v>
      </c>
    </row>
    <row r="438" s="2" customFormat="1" spans="1:31">
      <c r="A438" s="4">
        <v>436</v>
      </c>
      <c r="B438" s="5" t="s">
        <v>995</v>
      </c>
      <c r="C438" s="4" t="s">
        <v>969</v>
      </c>
      <c r="D438" s="24" t="s">
        <v>63</v>
      </c>
      <c r="E438" s="4">
        <v>15</v>
      </c>
      <c r="F438" s="5">
        <v>5</v>
      </c>
      <c r="G438" s="5">
        <v>2</v>
      </c>
      <c r="H438" s="6">
        <f t="shared" si="420"/>
        <v>0.75</v>
      </c>
      <c r="I438" s="4">
        <f t="shared" si="421"/>
        <v>112163</v>
      </c>
      <c r="J438" s="22">
        <f>ROUND(VLOOKUP(D438,[1]物品容器!$T$3:$U$8,2,FALSE)*M438,0)*0.5</f>
        <v>14955</v>
      </c>
      <c r="K438" s="18">
        <f t="shared" si="422"/>
        <v>11216</v>
      </c>
      <c r="L438" s="18">
        <f t="shared" ref="L438:O438" si="477">ROUND($I438*L$2,0)</f>
        <v>67298</v>
      </c>
      <c r="M438" s="7">
        <v>0.997</v>
      </c>
      <c r="N438" s="18">
        <f t="shared" si="477"/>
        <v>16824</v>
      </c>
      <c r="O438" s="18">
        <f t="shared" si="477"/>
        <v>1682445</v>
      </c>
      <c r="P438" s="18">
        <f t="shared" si="424"/>
        <v>1009.47</v>
      </c>
      <c r="Q438" s="18">
        <f t="shared" si="425"/>
        <v>5589</v>
      </c>
      <c r="R438" s="2" t="s">
        <v>970</v>
      </c>
      <c r="S438" s="4">
        <f t="shared" si="426"/>
        <v>230010300</v>
      </c>
      <c r="W438" s="4"/>
      <c r="X438" s="4"/>
      <c r="AD438" s="4" t="s">
        <v>228</v>
      </c>
      <c r="AE438" s="4">
        <v>160060015</v>
      </c>
    </row>
    <row r="439" s="2" customFormat="1" spans="1:31">
      <c r="A439" s="4">
        <v>437</v>
      </c>
      <c r="B439" s="5" t="s">
        <v>996</v>
      </c>
      <c r="C439" s="4" t="s">
        <v>969</v>
      </c>
      <c r="D439" s="24" t="s">
        <v>63</v>
      </c>
      <c r="E439" s="4">
        <v>16</v>
      </c>
      <c r="F439" s="5">
        <v>4</v>
      </c>
      <c r="G439" s="5">
        <v>2</v>
      </c>
      <c r="H439" s="6">
        <f t="shared" si="420"/>
        <v>0.84</v>
      </c>
      <c r="I439" s="4">
        <f t="shared" si="421"/>
        <v>100961</v>
      </c>
      <c r="J439" s="22">
        <f>ROUND(VLOOKUP(D439,[1]物品容器!$T$3:$U$8,2,FALSE)*M439,0)*0.5</f>
        <v>15024</v>
      </c>
      <c r="K439" s="18">
        <f t="shared" si="422"/>
        <v>12620</v>
      </c>
      <c r="L439" s="18">
        <f t="shared" ref="L439:O439" si="478">ROUND($I439*L$2,0)</f>
        <v>60577</v>
      </c>
      <c r="M439" s="7">
        <v>1.0016</v>
      </c>
      <c r="N439" s="18">
        <f t="shared" si="478"/>
        <v>15144</v>
      </c>
      <c r="O439" s="18">
        <f t="shared" si="478"/>
        <v>1514415</v>
      </c>
      <c r="P439" s="18">
        <f t="shared" si="424"/>
        <v>908.655</v>
      </c>
      <c r="Q439" s="18">
        <f t="shared" si="425"/>
        <v>5031</v>
      </c>
      <c r="R439" s="2" t="s">
        <v>972</v>
      </c>
      <c r="S439" s="4">
        <f t="shared" si="426"/>
        <v>230070300</v>
      </c>
      <c r="W439" s="4"/>
      <c r="X439" s="4"/>
      <c r="AD439" s="4" t="s">
        <v>231</v>
      </c>
      <c r="AE439" s="4">
        <v>160060016</v>
      </c>
    </row>
    <row r="440" s="2" customFormat="1" spans="1:31">
      <c r="A440" s="4">
        <v>438</v>
      </c>
      <c r="B440" s="5" t="s">
        <v>997</v>
      </c>
      <c r="C440" s="4" t="s">
        <v>969</v>
      </c>
      <c r="D440" s="24" t="s">
        <v>63</v>
      </c>
      <c r="E440" s="4">
        <v>17</v>
      </c>
      <c r="F440" s="5">
        <v>5</v>
      </c>
      <c r="G440" s="5">
        <v>2</v>
      </c>
      <c r="H440" s="6">
        <f t="shared" si="420"/>
        <v>0.75</v>
      </c>
      <c r="I440" s="4">
        <f t="shared" si="421"/>
        <v>112590</v>
      </c>
      <c r="J440" s="22">
        <f>ROUND(VLOOKUP(D440,[1]物品容器!$T$3:$U$8,2,FALSE)*M440,0)*0.5</f>
        <v>15012</v>
      </c>
      <c r="K440" s="18">
        <f t="shared" si="422"/>
        <v>11259</v>
      </c>
      <c r="L440" s="18">
        <f t="shared" ref="L440:O440" si="479">ROUND($I440*L$2,0)</f>
        <v>67554</v>
      </c>
      <c r="M440" s="7">
        <v>1.0008</v>
      </c>
      <c r="N440" s="18">
        <f t="shared" si="479"/>
        <v>16889</v>
      </c>
      <c r="O440" s="18">
        <f t="shared" si="479"/>
        <v>1688850</v>
      </c>
      <c r="P440" s="18">
        <f t="shared" si="424"/>
        <v>1013.31</v>
      </c>
      <c r="Q440" s="18">
        <f t="shared" si="425"/>
        <v>5610</v>
      </c>
      <c r="R440" s="2" t="s">
        <v>974</v>
      </c>
      <c r="S440" s="4">
        <f t="shared" si="426"/>
        <v>230030300</v>
      </c>
      <c r="W440" s="4"/>
      <c r="X440" s="4"/>
      <c r="AD440" s="4" t="s">
        <v>234</v>
      </c>
      <c r="AE440" s="4">
        <v>160060017</v>
      </c>
    </row>
    <row r="441" s="2" customFormat="1" spans="1:31">
      <c r="A441" s="4">
        <v>439</v>
      </c>
      <c r="B441" s="5" t="s">
        <v>998</v>
      </c>
      <c r="C441" s="4" t="s">
        <v>969</v>
      </c>
      <c r="D441" s="24" t="s">
        <v>63</v>
      </c>
      <c r="E441" s="4">
        <v>18</v>
      </c>
      <c r="F441" s="5">
        <v>4</v>
      </c>
      <c r="G441" s="5">
        <v>2</v>
      </c>
      <c r="H441" s="6">
        <f t="shared" si="420"/>
        <v>0.84</v>
      </c>
      <c r="I441" s="4">
        <f t="shared" si="421"/>
        <v>101163</v>
      </c>
      <c r="J441" s="22">
        <f>ROUND(VLOOKUP(D441,[1]物品容器!$T$3:$U$8,2,FALSE)*M441,0)*0.5</f>
        <v>15054</v>
      </c>
      <c r="K441" s="18">
        <f t="shared" si="422"/>
        <v>12645</v>
      </c>
      <c r="L441" s="18">
        <f t="shared" ref="L441:O441" si="480">ROUND($I441*L$2,0)</f>
        <v>60698</v>
      </c>
      <c r="M441" s="7">
        <v>1.0036</v>
      </c>
      <c r="N441" s="18">
        <f t="shared" si="480"/>
        <v>15174</v>
      </c>
      <c r="O441" s="18">
        <f t="shared" si="480"/>
        <v>1517445</v>
      </c>
      <c r="P441" s="18">
        <f t="shared" si="424"/>
        <v>910.47</v>
      </c>
      <c r="Q441" s="18">
        <f t="shared" si="425"/>
        <v>5041</v>
      </c>
      <c r="R441" s="2" t="s">
        <v>976</v>
      </c>
      <c r="S441" s="4">
        <f t="shared" si="426"/>
        <v>230050300</v>
      </c>
      <c r="W441" s="4"/>
      <c r="X441" s="4"/>
      <c r="AD441" s="4" t="s">
        <v>237</v>
      </c>
      <c r="AE441" s="4">
        <v>160060018</v>
      </c>
    </row>
    <row r="442" s="2" customFormat="1" spans="1:31">
      <c r="A442" s="4">
        <v>440</v>
      </c>
      <c r="B442" s="5" t="s">
        <v>999</v>
      </c>
      <c r="C442" s="4" t="s">
        <v>969</v>
      </c>
      <c r="D442" s="24" t="s">
        <v>63</v>
      </c>
      <c r="E442" s="4">
        <v>19</v>
      </c>
      <c r="F442" s="5">
        <v>3</v>
      </c>
      <c r="G442" s="5">
        <v>3</v>
      </c>
      <c r="H442" s="6">
        <f t="shared" si="420"/>
        <v>0.8</v>
      </c>
      <c r="I442" s="4">
        <f t="shared" si="421"/>
        <v>107676</v>
      </c>
      <c r="J442" s="22">
        <f>ROUND(VLOOKUP(D442,[1]物品容器!$T$3:$U$8,2,FALSE)*M442,0)*0.5</f>
        <v>14955</v>
      </c>
      <c r="K442" s="18">
        <f t="shared" si="422"/>
        <v>11964</v>
      </c>
      <c r="L442" s="18">
        <f t="shared" ref="L442:O442" si="481">ROUND($I442*L$2,0)</f>
        <v>64606</v>
      </c>
      <c r="M442" s="7">
        <v>0.997</v>
      </c>
      <c r="N442" s="18">
        <f t="shared" si="481"/>
        <v>16151</v>
      </c>
      <c r="O442" s="18">
        <f t="shared" si="481"/>
        <v>1615140</v>
      </c>
      <c r="P442" s="18">
        <f t="shared" si="424"/>
        <v>969.09</v>
      </c>
      <c r="Q442" s="18">
        <f t="shared" si="425"/>
        <v>5365</v>
      </c>
      <c r="R442" s="2" t="s">
        <v>978</v>
      </c>
      <c r="S442" s="4">
        <f t="shared" si="426"/>
        <v>230060300</v>
      </c>
      <c r="W442" s="4"/>
      <c r="X442" s="4"/>
      <c r="AD442" s="4" t="s">
        <v>240</v>
      </c>
      <c r="AE442" s="4">
        <v>160060019</v>
      </c>
    </row>
    <row r="443" s="2" customFormat="1" spans="1:31">
      <c r="A443" s="4">
        <v>441</v>
      </c>
      <c r="B443" s="5" t="s">
        <v>1000</v>
      </c>
      <c r="C443" s="4" t="s">
        <v>969</v>
      </c>
      <c r="D443" s="24" t="s">
        <v>63</v>
      </c>
      <c r="E443" s="4">
        <v>20</v>
      </c>
      <c r="F443" s="5">
        <v>4</v>
      </c>
      <c r="G443" s="5">
        <v>2</v>
      </c>
      <c r="H443" s="6">
        <f t="shared" si="420"/>
        <v>0.84</v>
      </c>
      <c r="I443" s="4">
        <f t="shared" si="421"/>
        <v>100236</v>
      </c>
      <c r="J443" s="22">
        <f>ROUND(VLOOKUP(D443,[1]物品容器!$T$3:$U$8,2,FALSE)*M443,0)*0.5</f>
        <v>14916</v>
      </c>
      <c r="K443" s="18">
        <f t="shared" si="422"/>
        <v>12529</v>
      </c>
      <c r="L443" s="18">
        <f t="shared" ref="L443:O443" si="482">ROUND($I443*L$2,0)</f>
        <v>60142</v>
      </c>
      <c r="M443" s="7">
        <v>0.9944</v>
      </c>
      <c r="N443" s="18">
        <f t="shared" si="482"/>
        <v>15035</v>
      </c>
      <c r="O443" s="18">
        <f t="shared" si="482"/>
        <v>1503540</v>
      </c>
      <c r="P443" s="18">
        <f t="shared" si="424"/>
        <v>902.13</v>
      </c>
      <c r="Q443" s="18">
        <f t="shared" si="425"/>
        <v>4995</v>
      </c>
      <c r="R443" s="2" t="s">
        <v>980</v>
      </c>
      <c r="S443" s="4">
        <f t="shared" si="426"/>
        <v>230020300</v>
      </c>
      <c r="W443" s="4"/>
      <c r="X443" s="4"/>
      <c r="AD443" s="4" t="s">
        <v>243</v>
      </c>
      <c r="AE443" s="4">
        <v>160060020</v>
      </c>
    </row>
    <row r="444" s="2" customFormat="1" spans="1:31">
      <c r="A444" s="4">
        <v>442</v>
      </c>
      <c r="B444" s="5" t="s">
        <v>1001</v>
      </c>
      <c r="C444" s="4" t="s">
        <v>969</v>
      </c>
      <c r="D444" s="24" t="s">
        <v>63</v>
      </c>
      <c r="E444" s="4">
        <v>21</v>
      </c>
      <c r="F444" s="5">
        <v>4</v>
      </c>
      <c r="G444" s="5">
        <v>2</v>
      </c>
      <c r="H444" s="6">
        <f t="shared" si="420"/>
        <v>0.84</v>
      </c>
      <c r="I444" s="4">
        <f t="shared" si="421"/>
        <v>100800</v>
      </c>
      <c r="J444" s="22">
        <f>ROUND(VLOOKUP(D444,[1]物品容器!$T$3:$U$8,2,FALSE)*M444,0)*0.5</f>
        <v>15000</v>
      </c>
      <c r="K444" s="18">
        <f t="shared" si="422"/>
        <v>12600</v>
      </c>
      <c r="L444" s="18">
        <f t="shared" ref="L444:O444" si="483">ROUND($I444*L$2,0)</f>
        <v>60480</v>
      </c>
      <c r="M444" s="7">
        <v>1</v>
      </c>
      <c r="N444" s="18">
        <f t="shared" si="483"/>
        <v>15120</v>
      </c>
      <c r="O444" s="18">
        <f t="shared" si="483"/>
        <v>1512000</v>
      </c>
      <c r="P444" s="18">
        <f t="shared" si="424"/>
        <v>907.2</v>
      </c>
      <c r="Q444" s="18">
        <f t="shared" si="425"/>
        <v>5023</v>
      </c>
      <c r="R444" s="2" t="s">
        <v>983</v>
      </c>
      <c r="S444" s="4">
        <f t="shared" si="426"/>
        <v>230040300</v>
      </c>
      <c r="W444" s="4"/>
      <c r="X444" s="4"/>
      <c r="AD444" s="4" t="s">
        <v>246</v>
      </c>
      <c r="AE444" s="4">
        <v>160060021</v>
      </c>
    </row>
    <row r="445" s="2" customFormat="1" spans="1:31">
      <c r="A445" s="4">
        <v>443</v>
      </c>
      <c r="B445" s="5" t="s">
        <v>1002</v>
      </c>
      <c r="C445" s="4" t="s">
        <v>969</v>
      </c>
      <c r="D445" s="25" t="s">
        <v>76</v>
      </c>
      <c r="E445" s="4">
        <v>22</v>
      </c>
      <c r="F445" s="5">
        <v>5</v>
      </c>
      <c r="G445" s="5">
        <v>2</v>
      </c>
      <c r="H445" s="6">
        <f t="shared" si="420"/>
        <v>0.75</v>
      </c>
      <c r="I445" s="4">
        <f t="shared" si="421"/>
        <v>37650</v>
      </c>
      <c r="J445" s="22">
        <f>ROUND(VLOOKUP(D445,[1]物品容器!$T$3:$U$8,2,FALSE)*M445,0)*0.5</f>
        <v>5020</v>
      </c>
      <c r="K445" s="18">
        <f t="shared" si="422"/>
        <v>3765</v>
      </c>
      <c r="L445" s="18">
        <f t="shared" ref="L445:O445" si="484">ROUND($I445*L$2,0)</f>
        <v>22590</v>
      </c>
      <c r="M445" s="7">
        <v>1.004</v>
      </c>
      <c r="N445" s="18">
        <f t="shared" si="484"/>
        <v>5648</v>
      </c>
      <c r="O445" s="18">
        <f t="shared" si="484"/>
        <v>564750</v>
      </c>
      <c r="P445" s="18">
        <f t="shared" si="424"/>
        <v>338.85</v>
      </c>
      <c r="Q445" s="18">
        <f t="shared" si="425"/>
        <v>1876</v>
      </c>
      <c r="R445" s="2" t="s">
        <v>970</v>
      </c>
      <c r="S445" s="4">
        <f t="shared" si="426"/>
        <v>230010200</v>
      </c>
      <c r="W445" s="4"/>
      <c r="X445" s="4"/>
      <c r="AD445" s="4" t="s">
        <v>249</v>
      </c>
      <c r="AE445" s="4">
        <v>160060022</v>
      </c>
    </row>
    <row r="446" s="2" customFormat="1" spans="1:31">
      <c r="A446" s="4">
        <v>444</v>
      </c>
      <c r="B446" s="5" t="s">
        <v>1003</v>
      </c>
      <c r="C446" s="4" t="s">
        <v>969</v>
      </c>
      <c r="D446" s="25" t="s">
        <v>76</v>
      </c>
      <c r="E446" s="4">
        <v>23</v>
      </c>
      <c r="F446" s="5">
        <v>4</v>
      </c>
      <c r="G446" s="5">
        <v>2</v>
      </c>
      <c r="H446" s="6">
        <f t="shared" si="420"/>
        <v>0.84</v>
      </c>
      <c r="I446" s="4">
        <f t="shared" si="421"/>
        <v>33560</v>
      </c>
      <c r="J446" s="22">
        <f>ROUND(VLOOKUP(D446,[1]物品容器!$T$3:$U$8,2,FALSE)*M446,0)*0.5</f>
        <v>4994</v>
      </c>
      <c r="K446" s="18">
        <f t="shared" si="422"/>
        <v>4195</v>
      </c>
      <c r="L446" s="18">
        <f t="shared" ref="L446:O446" si="485">ROUND($I446*L$2,0)</f>
        <v>20136</v>
      </c>
      <c r="M446" s="7">
        <v>0.9988</v>
      </c>
      <c r="N446" s="18">
        <f t="shared" si="485"/>
        <v>5034</v>
      </c>
      <c r="O446" s="18">
        <f t="shared" si="485"/>
        <v>503400</v>
      </c>
      <c r="P446" s="18">
        <f t="shared" si="424"/>
        <v>302.04</v>
      </c>
      <c r="Q446" s="18">
        <f t="shared" si="425"/>
        <v>1672</v>
      </c>
      <c r="R446" s="2" t="s">
        <v>972</v>
      </c>
      <c r="S446" s="4">
        <f t="shared" si="426"/>
        <v>230070200</v>
      </c>
      <c r="W446" s="4"/>
      <c r="X446" s="4"/>
      <c r="AD446" s="4" t="s">
        <v>252</v>
      </c>
      <c r="AE446" s="4">
        <v>160060023</v>
      </c>
    </row>
    <row r="447" s="2" customFormat="1" spans="1:31">
      <c r="A447" s="4">
        <v>445</v>
      </c>
      <c r="B447" s="5" t="s">
        <v>1004</v>
      </c>
      <c r="C447" s="4" t="s">
        <v>969</v>
      </c>
      <c r="D447" s="25" t="s">
        <v>76</v>
      </c>
      <c r="E447" s="4">
        <v>24</v>
      </c>
      <c r="F447" s="5">
        <v>5</v>
      </c>
      <c r="G447" s="5">
        <v>2</v>
      </c>
      <c r="H447" s="6">
        <f t="shared" si="420"/>
        <v>0.75</v>
      </c>
      <c r="I447" s="4">
        <f t="shared" si="421"/>
        <v>37733</v>
      </c>
      <c r="J447" s="22">
        <f>ROUND(VLOOKUP(D447,[1]物品容器!$T$3:$U$8,2,FALSE)*M447,0)*0.5</f>
        <v>5031</v>
      </c>
      <c r="K447" s="18">
        <f t="shared" si="422"/>
        <v>3773</v>
      </c>
      <c r="L447" s="18">
        <f t="shared" ref="L447:O447" si="486">ROUND($I447*L$2,0)</f>
        <v>22640</v>
      </c>
      <c r="M447" s="7">
        <v>1.0062</v>
      </c>
      <c r="N447" s="18">
        <f t="shared" si="486"/>
        <v>5660</v>
      </c>
      <c r="O447" s="18">
        <f t="shared" si="486"/>
        <v>565995</v>
      </c>
      <c r="P447" s="18">
        <f t="shared" si="424"/>
        <v>339.6</v>
      </c>
      <c r="Q447" s="18">
        <f t="shared" si="425"/>
        <v>1880</v>
      </c>
      <c r="R447" s="2" t="s">
        <v>974</v>
      </c>
      <c r="S447" s="4">
        <f t="shared" si="426"/>
        <v>230030200</v>
      </c>
      <c r="W447" s="4"/>
      <c r="X447" s="4"/>
      <c r="AD447" s="4" t="s">
        <v>255</v>
      </c>
      <c r="AE447" s="4">
        <v>160060024</v>
      </c>
    </row>
    <row r="448" s="2" customFormat="1" spans="1:31">
      <c r="A448" s="4">
        <v>446</v>
      </c>
      <c r="B448" s="5" t="s">
        <v>1005</v>
      </c>
      <c r="C448" s="4" t="s">
        <v>969</v>
      </c>
      <c r="D448" s="25" t="s">
        <v>76</v>
      </c>
      <c r="E448" s="4">
        <v>25</v>
      </c>
      <c r="F448" s="5">
        <v>4</v>
      </c>
      <c r="G448" s="5">
        <v>2</v>
      </c>
      <c r="H448" s="6">
        <f t="shared" si="420"/>
        <v>0.84</v>
      </c>
      <c r="I448" s="4">
        <f t="shared" si="421"/>
        <v>33818</v>
      </c>
      <c r="J448" s="22">
        <f>ROUND(VLOOKUP(D448,[1]物品容器!$T$3:$U$8,2,FALSE)*M448,0)*0.5</f>
        <v>5032.5</v>
      </c>
      <c r="K448" s="18">
        <f t="shared" si="422"/>
        <v>4227</v>
      </c>
      <c r="L448" s="18">
        <f t="shared" ref="L448:O448" si="487">ROUND($I448*L$2,0)</f>
        <v>20291</v>
      </c>
      <c r="M448" s="7">
        <v>1.0065</v>
      </c>
      <c r="N448" s="18">
        <f t="shared" si="487"/>
        <v>5073</v>
      </c>
      <c r="O448" s="18">
        <f t="shared" si="487"/>
        <v>507270</v>
      </c>
      <c r="P448" s="18">
        <f t="shared" si="424"/>
        <v>304.365</v>
      </c>
      <c r="Q448" s="18">
        <f t="shared" si="425"/>
        <v>1685</v>
      </c>
      <c r="R448" s="2" t="s">
        <v>976</v>
      </c>
      <c r="S448" s="4">
        <f t="shared" si="426"/>
        <v>230050200</v>
      </c>
      <c r="W448" s="4"/>
      <c r="X448" s="4"/>
      <c r="AD448" s="4" t="s">
        <v>258</v>
      </c>
      <c r="AE448" s="4">
        <v>160060025</v>
      </c>
    </row>
    <row r="449" s="2" customFormat="1" spans="1:31">
      <c r="A449" s="4">
        <v>447</v>
      </c>
      <c r="B449" s="5" t="s">
        <v>1006</v>
      </c>
      <c r="C449" s="4" t="s">
        <v>969</v>
      </c>
      <c r="D449" s="25" t="s">
        <v>76</v>
      </c>
      <c r="E449" s="4">
        <v>26</v>
      </c>
      <c r="F449" s="5">
        <v>3</v>
      </c>
      <c r="G449" s="5">
        <v>3</v>
      </c>
      <c r="H449" s="6">
        <f t="shared" si="420"/>
        <v>0.8</v>
      </c>
      <c r="I449" s="4">
        <f t="shared" si="421"/>
        <v>36320</v>
      </c>
      <c r="J449" s="22">
        <f>ROUND(VLOOKUP(D449,[1]物品容器!$T$3:$U$8,2,FALSE)*M449,0)*0.5</f>
        <v>5044.5</v>
      </c>
      <c r="K449" s="18">
        <f t="shared" si="422"/>
        <v>4036</v>
      </c>
      <c r="L449" s="18">
        <f t="shared" ref="L449:O449" si="488">ROUND($I449*L$2,0)</f>
        <v>21792</v>
      </c>
      <c r="M449" s="7">
        <v>1.0089</v>
      </c>
      <c r="N449" s="18">
        <f t="shared" si="488"/>
        <v>5448</v>
      </c>
      <c r="O449" s="18">
        <f t="shared" si="488"/>
        <v>544800</v>
      </c>
      <c r="P449" s="18">
        <f t="shared" si="424"/>
        <v>326.88</v>
      </c>
      <c r="Q449" s="18">
        <f t="shared" si="425"/>
        <v>1810</v>
      </c>
      <c r="R449" s="2" t="s">
        <v>978</v>
      </c>
      <c r="S449" s="4">
        <f t="shared" si="426"/>
        <v>230060200</v>
      </c>
      <c r="W449" s="4"/>
      <c r="X449" s="4"/>
      <c r="AD449" s="4" t="s">
        <v>1007</v>
      </c>
      <c r="AE449" s="4">
        <v>160060026</v>
      </c>
    </row>
    <row r="450" s="2" customFormat="1" spans="1:31">
      <c r="A450" s="4">
        <v>448</v>
      </c>
      <c r="B450" s="5" t="s">
        <v>1008</v>
      </c>
      <c r="C450" s="4" t="s">
        <v>969</v>
      </c>
      <c r="D450" s="25" t="s">
        <v>76</v>
      </c>
      <c r="E450" s="4">
        <v>27</v>
      </c>
      <c r="F450" s="5">
        <v>4</v>
      </c>
      <c r="G450" s="5">
        <v>2</v>
      </c>
      <c r="H450" s="6">
        <f t="shared" si="420"/>
        <v>0.84</v>
      </c>
      <c r="I450" s="4">
        <f t="shared" si="421"/>
        <v>33734</v>
      </c>
      <c r="J450" s="22">
        <f>ROUND(VLOOKUP(D450,[1]物品容器!$T$3:$U$8,2,FALSE)*M450,0)*0.5</f>
        <v>5020</v>
      </c>
      <c r="K450" s="18">
        <f t="shared" si="422"/>
        <v>4217</v>
      </c>
      <c r="L450" s="18">
        <f t="shared" ref="L450:O450" si="489">ROUND($I450*L$2,0)</f>
        <v>20240</v>
      </c>
      <c r="M450" s="7">
        <v>1.004</v>
      </c>
      <c r="N450" s="18">
        <f t="shared" si="489"/>
        <v>5060</v>
      </c>
      <c r="O450" s="18">
        <f t="shared" si="489"/>
        <v>506010</v>
      </c>
      <c r="P450" s="18">
        <f t="shared" si="424"/>
        <v>303.6</v>
      </c>
      <c r="Q450" s="18">
        <f t="shared" si="425"/>
        <v>1681</v>
      </c>
      <c r="R450" s="2" t="s">
        <v>980</v>
      </c>
      <c r="S450" s="4">
        <f t="shared" si="426"/>
        <v>230020200</v>
      </c>
      <c r="W450" s="4"/>
      <c r="X450" s="4"/>
      <c r="AD450" s="4" t="s">
        <v>195</v>
      </c>
      <c r="AE450" s="4">
        <v>160060027</v>
      </c>
    </row>
    <row r="451" s="2" customFormat="1" spans="1:31">
      <c r="A451" s="4">
        <v>449</v>
      </c>
      <c r="B451" s="5" t="s">
        <v>1009</v>
      </c>
      <c r="C451" s="4" t="s">
        <v>969</v>
      </c>
      <c r="D451" s="25" t="s">
        <v>76</v>
      </c>
      <c r="E451" s="4">
        <v>28</v>
      </c>
      <c r="F451" s="5">
        <v>4</v>
      </c>
      <c r="G451" s="5">
        <v>2</v>
      </c>
      <c r="H451" s="6">
        <f t="shared" ref="H451:H514" si="490">VLOOKUP(F451*G451,$T$3:$U$11,2,FALSE)</f>
        <v>0.84</v>
      </c>
      <c r="I451" s="4">
        <f t="shared" ref="I451:I514" si="491">ROUND(F451*G451*J451*H451,0)</f>
        <v>33445</v>
      </c>
      <c r="J451" s="22">
        <f>ROUND(VLOOKUP(D451,[1]物品容器!$T$3:$U$8,2,FALSE)*M451,0)*0.5</f>
        <v>4977</v>
      </c>
      <c r="K451" s="18">
        <f t="shared" ref="K451:K514" si="492">ROUND(J451*H451,0)</f>
        <v>4181</v>
      </c>
      <c r="L451" s="18">
        <f t="shared" ref="L451:O451" si="493">ROUND($I451*L$2,0)</f>
        <v>20067</v>
      </c>
      <c r="M451" s="7">
        <v>0.9954</v>
      </c>
      <c r="N451" s="18">
        <f t="shared" si="493"/>
        <v>5017</v>
      </c>
      <c r="O451" s="18">
        <f t="shared" si="493"/>
        <v>501675</v>
      </c>
      <c r="P451" s="18">
        <f t="shared" ref="P451:P514" si="494">L451*1.5%</f>
        <v>301.005</v>
      </c>
      <c r="Q451" s="18">
        <f t="shared" ref="Q451:Q514" si="495">ROUND((O451-N451)*$Q$2,0)</f>
        <v>1667</v>
      </c>
      <c r="R451" s="2" t="s">
        <v>983</v>
      </c>
      <c r="S451" s="4">
        <f t="shared" ref="S451:S514" si="496">VLOOKUP(B451,$AD:$AE,2,FALSE)</f>
        <v>230040200</v>
      </c>
      <c r="W451" s="4"/>
      <c r="X451" s="4"/>
      <c r="AD451" s="4" t="s">
        <v>198</v>
      </c>
      <c r="AE451" s="4">
        <v>160060028</v>
      </c>
    </row>
    <row r="452" s="2" customFormat="1" spans="1:31">
      <c r="A452" s="4">
        <v>450</v>
      </c>
      <c r="B452" s="5" t="s">
        <v>1010</v>
      </c>
      <c r="C452" s="4" t="s">
        <v>969</v>
      </c>
      <c r="D452" s="26" t="s">
        <v>94</v>
      </c>
      <c r="E452" s="4">
        <v>29</v>
      </c>
      <c r="F452" s="5">
        <v>5</v>
      </c>
      <c r="G452" s="5">
        <v>2</v>
      </c>
      <c r="H452" s="6">
        <f t="shared" si="490"/>
        <v>0.75</v>
      </c>
      <c r="I452" s="4">
        <f t="shared" si="491"/>
        <v>22433</v>
      </c>
      <c r="J452" s="13">
        <f>ROUND(VLOOKUP(D452,[1]物品容器!$T$3:$U$8,2,FALSE)*M452,0)</f>
        <v>2991</v>
      </c>
      <c r="K452" s="18">
        <f t="shared" si="492"/>
        <v>2243</v>
      </c>
      <c r="L452" s="18">
        <f t="shared" ref="L452:O452" si="497">ROUND($I452*L$2,0)</f>
        <v>13460</v>
      </c>
      <c r="M452" s="7">
        <v>0.9971</v>
      </c>
      <c r="N452" s="18">
        <f t="shared" si="497"/>
        <v>3365</v>
      </c>
      <c r="O452" s="18">
        <f t="shared" si="497"/>
        <v>336495</v>
      </c>
      <c r="P452" s="18">
        <f t="shared" si="494"/>
        <v>201.9</v>
      </c>
      <c r="Q452" s="18">
        <f t="shared" si="495"/>
        <v>1118</v>
      </c>
      <c r="R452" s="2" t="s">
        <v>970</v>
      </c>
      <c r="S452" s="4">
        <f t="shared" si="496"/>
        <v>230010100</v>
      </c>
      <c r="W452" s="4"/>
      <c r="X452" s="4"/>
      <c r="AD452" s="4" t="s">
        <v>201</v>
      </c>
      <c r="AE452" s="4">
        <v>160060029</v>
      </c>
    </row>
    <row r="453" s="2" customFormat="1" spans="1:31">
      <c r="A453" s="4">
        <v>451</v>
      </c>
      <c r="B453" s="5" t="s">
        <v>1011</v>
      </c>
      <c r="C453" s="4" t="s">
        <v>969</v>
      </c>
      <c r="D453" s="26" t="s">
        <v>94</v>
      </c>
      <c r="E453" s="4">
        <v>30</v>
      </c>
      <c r="F453" s="5">
        <v>4</v>
      </c>
      <c r="G453" s="5">
        <v>2</v>
      </c>
      <c r="H453" s="6">
        <f t="shared" si="490"/>
        <v>0.84</v>
      </c>
      <c r="I453" s="4">
        <f t="shared" si="491"/>
        <v>20147</v>
      </c>
      <c r="J453" s="13">
        <f>ROUND(VLOOKUP(D453,[1]物品容器!$T$3:$U$8,2,FALSE)*M453,0)</f>
        <v>2998</v>
      </c>
      <c r="K453" s="18">
        <f t="shared" si="492"/>
        <v>2518</v>
      </c>
      <c r="L453" s="18">
        <f t="shared" ref="L453:O453" si="498">ROUND($I453*L$2,0)</f>
        <v>12088</v>
      </c>
      <c r="M453" s="7">
        <v>0.9994</v>
      </c>
      <c r="N453" s="18">
        <f t="shared" si="498"/>
        <v>3022</v>
      </c>
      <c r="O453" s="18">
        <f t="shared" si="498"/>
        <v>302205</v>
      </c>
      <c r="P453" s="18">
        <f t="shared" si="494"/>
        <v>181.32</v>
      </c>
      <c r="Q453" s="18">
        <f t="shared" si="495"/>
        <v>1004</v>
      </c>
      <c r="R453" s="2" t="s">
        <v>972</v>
      </c>
      <c r="S453" s="4">
        <f t="shared" si="496"/>
        <v>230070100</v>
      </c>
      <c r="W453" s="4"/>
      <c r="X453" s="4"/>
      <c r="AD453" s="4" t="s">
        <v>204</v>
      </c>
      <c r="AE453" s="4">
        <v>160060030</v>
      </c>
    </row>
    <row r="454" s="2" customFormat="1" spans="1:31">
      <c r="A454" s="4">
        <v>452</v>
      </c>
      <c r="B454" s="5" t="s">
        <v>1012</v>
      </c>
      <c r="C454" s="4" t="s">
        <v>969</v>
      </c>
      <c r="D454" s="26" t="s">
        <v>94</v>
      </c>
      <c r="E454" s="4">
        <v>31</v>
      </c>
      <c r="F454" s="5">
        <v>5</v>
      </c>
      <c r="G454" s="5">
        <v>2</v>
      </c>
      <c r="H454" s="6">
        <f t="shared" si="490"/>
        <v>0.75</v>
      </c>
      <c r="I454" s="4">
        <f t="shared" si="491"/>
        <v>22418</v>
      </c>
      <c r="J454" s="13">
        <f>ROUND(VLOOKUP(D454,[1]物品容器!$T$3:$U$8,2,FALSE)*M454,0)</f>
        <v>2989</v>
      </c>
      <c r="K454" s="18">
        <f t="shared" si="492"/>
        <v>2242</v>
      </c>
      <c r="L454" s="18">
        <f t="shared" ref="L454:O454" si="499">ROUND($I454*L$2,0)</f>
        <v>13451</v>
      </c>
      <c r="M454" s="7">
        <v>0.9963</v>
      </c>
      <c r="N454" s="18">
        <f t="shared" si="499"/>
        <v>3363</v>
      </c>
      <c r="O454" s="18">
        <f t="shared" si="499"/>
        <v>336270</v>
      </c>
      <c r="P454" s="18">
        <f t="shared" si="494"/>
        <v>201.765</v>
      </c>
      <c r="Q454" s="18">
        <f t="shared" si="495"/>
        <v>1117</v>
      </c>
      <c r="R454" s="2" t="s">
        <v>974</v>
      </c>
      <c r="S454" s="4">
        <f t="shared" si="496"/>
        <v>230030100</v>
      </c>
      <c r="W454" s="4"/>
      <c r="X454" s="4"/>
      <c r="AD454" s="4" t="s">
        <v>207</v>
      </c>
      <c r="AE454" s="4">
        <v>160060031</v>
      </c>
    </row>
    <row r="455" s="2" customFormat="1" spans="1:31">
      <c r="A455" s="4">
        <v>453</v>
      </c>
      <c r="B455" s="5" t="s">
        <v>1013</v>
      </c>
      <c r="C455" s="4" t="s">
        <v>969</v>
      </c>
      <c r="D455" s="26" t="s">
        <v>94</v>
      </c>
      <c r="E455" s="4">
        <v>32</v>
      </c>
      <c r="F455" s="5">
        <v>4</v>
      </c>
      <c r="G455" s="5">
        <v>2</v>
      </c>
      <c r="H455" s="6">
        <f t="shared" si="490"/>
        <v>0.84</v>
      </c>
      <c r="I455" s="4">
        <f t="shared" si="491"/>
        <v>20106</v>
      </c>
      <c r="J455" s="13">
        <f>ROUND(VLOOKUP(D455,[1]物品容器!$T$3:$U$8,2,FALSE)*M455,0)</f>
        <v>2992</v>
      </c>
      <c r="K455" s="18">
        <f t="shared" si="492"/>
        <v>2513</v>
      </c>
      <c r="L455" s="18">
        <f t="shared" ref="L455:O455" si="500">ROUND($I455*L$2,0)</f>
        <v>12064</v>
      </c>
      <c r="M455" s="7">
        <v>0.9972</v>
      </c>
      <c r="N455" s="18">
        <f t="shared" si="500"/>
        <v>3016</v>
      </c>
      <c r="O455" s="18">
        <f t="shared" si="500"/>
        <v>301590</v>
      </c>
      <c r="P455" s="18">
        <f t="shared" si="494"/>
        <v>180.96</v>
      </c>
      <c r="Q455" s="18">
        <f t="shared" si="495"/>
        <v>1002</v>
      </c>
      <c r="R455" s="2" t="s">
        <v>976</v>
      </c>
      <c r="S455" s="4">
        <f t="shared" si="496"/>
        <v>230050100</v>
      </c>
      <c r="W455" s="4"/>
      <c r="X455" s="4"/>
      <c r="AD455" s="4" t="s">
        <v>210</v>
      </c>
      <c r="AE455" s="4">
        <v>160060032</v>
      </c>
    </row>
    <row r="456" s="2" customFormat="1" spans="1:31">
      <c r="A456" s="4">
        <v>454</v>
      </c>
      <c r="B456" s="5" t="s">
        <v>1014</v>
      </c>
      <c r="C456" s="4" t="s">
        <v>969</v>
      </c>
      <c r="D456" s="26" t="s">
        <v>94</v>
      </c>
      <c r="E456" s="4">
        <v>33</v>
      </c>
      <c r="F456" s="5">
        <v>3</v>
      </c>
      <c r="G456" s="5">
        <v>3</v>
      </c>
      <c r="H456" s="6">
        <f t="shared" si="490"/>
        <v>0.8</v>
      </c>
      <c r="I456" s="4">
        <f t="shared" si="491"/>
        <v>21550</v>
      </c>
      <c r="J456" s="13">
        <f>ROUND(VLOOKUP(D456,[1]物品容器!$T$3:$U$8,2,FALSE)*M456,0)</f>
        <v>2993</v>
      </c>
      <c r="K456" s="18">
        <f t="shared" si="492"/>
        <v>2394</v>
      </c>
      <c r="L456" s="18">
        <f t="shared" ref="L456:O456" si="501">ROUND($I456*L$2,0)</f>
        <v>12930</v>
      </c>
      <c r="M456" s="7">
        <v>0.9978</v>
      </c>
      <c r="N456" s="18">
        <f t="shared" si="501"/>
        <v>3233</v>
      </c>
      <c r="O456" s="18">
        <f t="shared" si="501"/>
        <v>323250</v>
      </c>
      <c r="P456" s="18">
        <f t="shared" si="494"/>
        <v>193.95</v>
      </c>
      <c r="Q456" s="18">
        <f t="shared" si="495"/>
        <v>1074</v>
      </c>
      <c r="R456" s="2" t="s">
        <v>978</v>
      </c>
      <c r="S456" s="4">
        <f t="shared" si="496"/>
        <v>230060100</v>
      </c>
      <c r="W456" s="4"/>
      <c r="X456" s="4"/>
      <c r="AD456" s="4" t="s">
        <v>213</v>
      </c>
      <c r="AE456" s="4">
        <v>160060033</v>
      </c>
    </row>
    <row r="457" s="2" customFormat="1" spans="1:31">
      <c r="A457" s="4">
        <v>455</v>
      </c>
      <c r="B457" s="5" t="s">
        <v>1015</v>
      </c>
      <c r="C457" s="4" t="s">
        <v>969</v>
      </c>
      <c r="D457" s="26" t="s">
        <v>94</v>
      </c>
      <c r="E457" s="4">
        <v>34</v>
      </c>
      <c r="F457" s="5">
        <v>4</v>
      </c>
      <c r="G457" s="5">
        <v>2</v>
      </c>
      <c r="H457" s="6">
        <f t="shared" si="490"/>
        <v>0.84</v>
      </c>
      <c r="I457" s="4">
        <f t="shared" si="491"/>
        <v>20234</v>
      </c>
      <c r="J457" s="13">
        <f>ROUND(VLOOKUP(D457,[1]物品容器!$T$3:$U$8,2,FALSE)*M457,0)</f>
        <v>3011</v>
      </c>
      <c r="K457" s="18">
        <f t="shared" si="492"/>
        <v>2529</v>
      </c>
      <c r="L457" s="18">
        <f t="shared" ref="L457:O457" si="502">ROUND($I457*L$2,0)</f>
        <v>12140</v>
      </c>
      <c r="M457" s="7">
        <v>1.0037</v>
      </c>
      <c r="N457" s="18">
        <f t="shared" si="502"/>
        <v>3035</v>
      </c>
      <c r="O457" s="18">
        <f t="shared" si="502"/>
        <v>303510</v>
      </c>
      <c r="P457" s="18">
        <f t="shared" si="494"/>
        <v>182.1</v>
      </c>
      <c r="Q457" s="18">
        <f t="shared" si="495"/>
        <v>1008</v>
      </c>
      <c r="R457" s="2" t="s">
        <v>980</v>
      </c>
      <c r="S457" s="4">
        <f t="shared" si="496"/>
        <v>230020100</v>
      </c>
      <c r="W457" s="4"/>
      <c r="X457" s="4"/>
      <c r="AD457" s="4" t="s">
        <v>216</v>
      </c>
      <c r="AE457" s="4">
        <v>160060034</v>
      </c>
    </row>
    <row r="458" s="2" customFormat="1" spans="1:31">
      <c r="A458" s="4">
        <v>456</v>
      </c>
      <c r="B458" s="5" t="s">
        <v>1016</v>
      </c>
      <c r="C458" s="4" t="s">
        <v>969</v>
      </c>
      <c r="D458" s="26" t="s">
        <v>94</v>
      </c>
      <c r="E458" s="4">
        <v>35</v>
      </c>
      <c r="F458" s="5">
        <v>4</v>
      </c>
      <c r="G458" s="5">
        <v>2</v>
      </c>
      <c r="H458" s="6">
        <f t="shared" si="490"/>
        <v>0.84</v>
      </c>
      <c r="I458" s="4">
        <f t="shared" si="491"/>
        <v>20335</v>
      </c>
      <c r="J458" s="13">
        <f>ROUND(VLOOKUP(D458,[1]物品容器!$T$3:$U$8,2,FALSE)*M458,0)</f>
        <v>3026</v>
      </c>
      <c r="K458" s="18">
        <f t="shared" si="492"/>
        <v>2542</v>
      </c>
      <c r="L458" s="18">
        <f t="shared" ref="L458:O458" si="503">ROUND($I458*L$2,0)</f>
        <v>12201</v>
      </c>
      <c r="M458" s="7">
        <v>1.0085</v>
      </c>
      <c r="N458" s="18">
        <f t="shared" si="503"/>
        <v>3050</v>
      </c>
      <c r="O458" s="18">
        <f t="shared" si="503"/>
        <v>305025</v>
      </c>
      <c r="P458" s="18">
        <f t="shared" si="494"/>
        <v>183.015</v>
      </c>
      <c r="Q458" s="18">
        <f t="shared" si="495"/>
        <v>1013</v>
      </c>
      <c r="R458" s="2" t="s">
        <v>983</v>
      </c>
      <c r="S458" s="4">
        <f t="shared" si="496"/>
        <v>230040100</v>
      </c>
      <c r="W458" s="4"/>
      <c r="X458" s="4"/>
      <c r="AD458" s="4" t="s">
        <v>219</v>
      </c>
      <c r="AE458" s="4">
        <v>160060035</v>
      </c>
    </row>
    <row r="459" s="2" customFormat="1" spans="1:31">
      <c r="A459" s="4">
        <v>457</v>
      </c>
      <c r="B459" s="5" t="s">
        <v>1017</v>
      </c>
      <c r="C459" s="4" t="s">
        <v>969</v>
      </c>
      <c r="D459" s="27" t="s">
        <v>116</v>
      </c>
      <c r="E459" s="4">
        <v>36</v>
      </c>
      <c r="F459" s="5">
        <v>5</v>
      </c>
      <c r="G459" s="5">
        <v>2</v>
      </c>
      <c r="H459" s="6">
        <f t="shared" si="490"/>
        <v>0.75</v>
      </c>
      <c r="I459" s="4">
        <f t="shared" si="491"/>
        <v>7545</v>
      </c>
      <c r="J459" s="13">
        <f>ROUND(VLOOKUP(D459,[1]物品容器!$T$3:$U$8,2,FALSE)*M459,0)</f>
        <v>1006</v>
      </c>
      <c r="K459" s="18">
        <f t="shared" si="492"/>
        <v>755</v>
      </c>
      <c r="L459" s="18">
        <f t="shared" ref="L459:O459" si="504">ROUND($I459*L$2,0)</f>
        <v>4527</v>
      </c>
      <c r="M459" s="7">
        <v>1.006</v>
      </c>
      <c r="N459" s="18">
        <f t="shared" si="504"/>
        <v>1132</v>
      </c>
      <c r="O459" s="18">
        <f t="shared" si="504"/>
        <v>113175</v>
      </c>
      <c r="P459" s="18">
        <f t="shared" si="494"/>
        <v>67.905</v>
      </c>
      <c r="Q459" s="18">
        <f t="shared" si="495"/>
        <v>376</v>
      </c>
      <c r="R459" s="2" t="s">
        <v>970</v>
      </c>
      <c r="S459" s="4">
        <f t="shared" si="496"/>
        <v>230010000</v>
      </c>
      <c r="W459" s="4"/>
      <c r="X459" s="4"/>
      <c r="AD459" s="4" t="s">
        <v>1018</v>
      </c>
      <c r="AE459" s="4">
        <v>160060036</v>
      </c>
    </row>
    <row r="460" s="2" customFormat="1" spans="1:31">
      <c r="A460" s="4">
        <v>458</v>
      </c>
      <c r="B460" s="5" t="s">
        <v>1019</v>
      </c>
      <c r="C460" s="4" t="s">
        <v>969</v>
      </c>
      <c r="D460" s="27" t="s">
        <v>116</v>
      </c>
      <c r="E460" s="4">
        <v>37</v>
      </c>
      <c r="F460" s="5">
        <v>4</v>
      </c>
      <c r="G460" s="5">
        <v>2</v>
      </c>
      <c r="H460" s="6">
        <f t="shared" si="490"/>
        <v>0.84</v>
      </c>
      <c r="I460" s="4">
        <f t="shared" si="491"/>
        <v>6666</v>
      </c>
      <c r="J460" s="13">
        <f>ROUND(VLOOKUP(D460,[1]物品容器!$T$3:$U$8,2,FALSE)*M460,0)</f>
        <v>992</v>
      </c>
      <c r="K460" s="18">
        <f t="shared" si="492"/>
        <v>833</v>
      </c>
      <c r="L460" s="18">
        <f t="shared" ref="L460:O460" si="505">ROUND($I460*L$2,0)</f>
        <v>4000</v>
      </c>
      <c r="M460" s="7">
        <v>0.9915</v>
      </c>
      <c r="N460" s="18">
        <f t="shared" si="505"/>
        <v>1000</v>
      </c>
      <c r="O460" s="18">
        <f t="shared" si="505"/>
        <v>99990</v>
      </c>
      <c r="P460" s="18">
        <f t="shared" si="494"/>
        <v>60</v>
      </c>
      <c r="Q460" s="18">
        <f t="shared" si="495"/>
        <v>332</v>
      </c>
      <c r="R460" s="2" t="s">
        <v>972</v>
      </c>
      <c r="S460" s="4">
        <f t="shared" si="496"/>
        <v>230070000</v>
      </c>
      <c r="W460" s="4"/>
      <c r="X460" s="4"/>
      <c r="AD460" s="4" t="s">
        <v>168</v>
      </c>
      <c r="AE460" s="4">
        <v>160060037</v>
      </c>
    </row>
    <row r="461" s="2" customFormat="1" spans="1:31">
      <c r="A461" s="4">
        <v>459</v>
      </c>
      <c r="B461" s="5" t="s">
        <v>1020</v>
      </c>
      <c r="C461" s="4" t="s">
        <v>969</v>
      </c>
      <c r="D461" s="27" t="s">
        <v>116</v>
      </c>
      <c r="E461" s="4">
        <v>38</v>
      </c>
      <c r="F461" s="5">
        <v>5</v>
      </c>
      <c r="G461" s="5">
        <v>2</v>
      </c>
      <c r="H461" s="6">
        <f t="shared" si="490"/>
        <v>0.75</v>
      </c>
      <c r="I461" s="4">
        <f t="shared" si="491"/>
        <v>7463</v>
      </c>
      <c r="J461" s="13">
        <f>ROUND(VLOOKUP(D461,[1]物品容器!$T$3:$U$8,2,FALSE)*M461,0)</f>
        <v>995</v>
      </c>
      <c r="K461" s="18">
        <f t="shared" si="492"/>
        <v>746</v>
      </c>
      <c r="L461" s="18">
        <f t="shared" ref="L461:O461" si="506">ROUND($I461*L$2,0)</f>
        <v>4478</v>
      </c>
      <c r="M461" s="7">
        <v>0.9953</v>
      </c>
      <c r="N461" s="18">
        <f t="shared" si="506"/>
        <v>1119</v>
      </c>
      <c r="O461" s="18">
        <f t="shared" si="506"/>
        <v>111945</v>
      </c>
      <c r="P461" s="18">
        <f t="shared" si="494"/>
        <v>67.17</v>
      </c>
      <c r="Q461" s="18">
        <f t="shared" si="495"/>
        <v>372</v>
      </c>
      <c r="R461" s="2" t="s">
        <v>974</v>
      </c>
      <c r="S461" s="4">
        <f t="shared" si="496"/>
        <v>230030000</v>
      </c>
      <c r="W461" s="4"/>
      <c r="X461" s="4"/>
      <c r="AD461" s="4" t="s">
        <v>171</v>
      </c>
      <c r="AE461" s="4">
        <v>160060038</v>
      </c>
    </row>
    <row r="462" s="2" customFormat="1" spans="1:31">
      <c r="A462" s="4">
        <v>460</v>
      </c>
      <c r="B462" s="5" t="s">
        <v>1021</v>
      </c>
      <c r="C462" s="4" t="s">
        <v>969</v>
      </c>
      <c r="D462" s="27" t="s">
        <v>116</v>
      </c>
      <c r="E462" s="4">
        <v>39</v>
      </c>
      <c r="F462" s="5">
        <v>4</v>
      </c>
      <c r="G462" s="5">
        <v>2</v>
      </c>
      <c r="H462" s="6">
        <f t="shared" si="490"/>
        <v>0.84</v>
      </c>
      <c r="I462" s="4">
        <f t="shared" si="491"/>
        <v>6774</v>
      </c>
      <c r="J462" s="13">
        <f>ROUND(VLOOKUP(D462,[1]物品容器!$T$3:$U$8,2,FALSE)*M462,0)</f>
        <v>1008</v>
      </c>
      <c r="K462" s="18">
        <f t="shared" si="492"/>
        <v>847</v>
      </c>
      <c r="L462" s="18">
        <f t="shared" ref="L462:O462" si="507">ROUND($I462*L$2,0)</f>
        <v>4064</v>
      </c>
      <c r="M462" s="7">
        <v>1.0079</v>
      </c>
      <c r="N462" s="18">
        <f t="shared" si="507"/>
        <v>1016</v>
      </c>
      <c r="O462" s="18">
        <f t="shared" si="507"/>
        <v>101610</v>
      </c>
      <c r="P462" s="18">
        <f t="shared" si="494"/>
        <v>60.96</v>
      </c>
      <c r="Q462" s="18">
        <f t="shared" si="495"/>
        <v>338</v>
      </c>
      <c r="R462" s="2" t="s">
        <v>976</v>
      </c>
      <c r="S462" s="4">
        <f t="shared" si="496"/>
        <v>230050000</v>
      </c>
      <c r="W462" s="4"/>
      <c r="X462" s="4"/>
      <c r="AD462" s="4" t="s">
        <v>174</v>
      </c>
      <c r="AE462" s="4">
        <v>160060039</v>
      </c>
    </row>
    <row r="463" s="2" customFormat="1" spans="1:31">
      <c r="A463" s="4">
        <v>461</v>
      </c>
      <c r="B463" s="5" t="s">
        <v>1022</v>
      </c>
      <c r="C463" s="4" t="s">
        <v>969</v>
      </c>
      <c r="D463" s="27" t="s">
        <v>116</v>
      </c>
      <c r="E463" s="4">
        <v>40</v>
      </c>
      <c r="F463" s="5">
        <v>3</v>
      </c>
      <c r="G463" s="5">
        <v>3</v>
      </c>
      <c r="H463" s="6">
        <f t="shared" si="490"/>
        <v>0.8</v>
      </c>
      <c r="I463" s="4">
        <f t="shared" si="491"/>
        <v>7250</v>
      </c>
      <c r="J463" s="13">
        <f>ROUND(VLOOKUP(D463,[1]物品容器!$T$3:$U$8,2,FALSE)*M463,0)</f>
        <v>1007</v>
      </c>
      <c r="K463" s="18">
        <f t="shared" si="492"/>
        <v>806</v>
      </c>
      <c r="L463" s="18">
        <f t="shared" ref="L463:O463" si="508">ROUND($I463*L$2,0)</f>
        <v>4350</v>
      </c>
      <c r="M463" s="7">
        <v>1.0071</v>
      </c>
      <c r="N463" s="18">
        <f t="shared" si="508"/>
        <v>1088</v>
      </c>
      <c r="O463" s="18">
        <f t="shared" si="508"/>
        <v>108750</v>
      </c>
      <c r="P463" s="18">
        <f t="shared" si="494"/>
        <v>65.25</v>
      </c>
      <c r="Q463" s="18">
        <f t="shared" si="495"/>
        <v>361</v>
      </c>
      <c r="R463" s="2" t="s">
        <v>978</v>
      </c>
      <c r="S463" s="4">
        <f t="shared" si="496"/>
        <v>230060000</v>
      </c>
      <c r="W463" s="4"/>
      <c r="X463" s="4"/>
      <c r="AD463" s="4" t="s">
        <v>177</v>
      </c>
      <c r="AE463" s="4">
        <v>160060040</v>
      </c>
    </row>
    <row r="464" s="2" customFormat="1" spans="1:31">
      <c r="A464" s="4">
        <v>462</v>
      </c>
      <c r="B464" s="5" t="s">
        <v>1023</v>
      </c>
      <c r="C464" s="4" t="s">
        <v>969</v>
      </c>
      <c r="D464" s="27" t="s">
        <v>116</v>
      </c>
      <c r="E464" s="4">
        <v>41</v>
      </c>
      <c r="F464" s="5">
        <v>4</v>
      </c>
      <c r="G464" s="5">
        <v>2</v>
      </c>
      <c r="H464" s="6">
        <f t="shared" si="490"/>
        <v>0.84</v>
      </c>
      <c r="I464" s="4">
        <f t="shared" si="491"/>
        <v>6673</v>
      </c>
      <c r="J464" s="13">
        <f>ROUND(VLOOKUP(D464,[1]物品容器!$T$3:$U$8,2,FALSE)*M464,0)</f>
        <v>993</v>
      </c>
      <c r="K464" s="18">
        <f t="shared" si="492"/>
        <v>834</v>
      </c>
      <c r="L464" s="18">
        <f t="shared" ref="L464:O464" si="509">ROUND($I464*L$2,0)</f>
        <v>4004</v>
      </c>
      <c r="M464" s="7">
        <v>0.9934</v>
      </c>
      <c r="N464" s="18">
        <f t="shared" si="509"/>
        <v>1001</v>
      </c>
      <c r="O464" s="18">
        <f t="shared" si="509"/>
        <v>100095</v>
      </c>
      <c r="P464" s="18">
        <f t="shared" si="494"/>
        <v>60.06</v>
      </c>
      <c r="Q464" s="18">
        <f t="shared" si="495"/>
        <v>333</v>
      </c>
      <c r="R464" s="2" t="s">
        <v>980</v>
      </c>
      <c r="S464" s="4">
        <f t="shared" si="496"/>
        <v>230020000</v>
      </c>
      <c r="W464" s="4"/>
      <c r="X464" s="4"/>
      <c r="AD464" s="4" t="s">
        <v>180</v>
      </c>
      <c r="AE464" s="4">
        <v>160060041</v>
      </c>
    </row>
    <row r="465" s="2" customFormat="1" spans="1:31">
      <c r="A465" s="4">
        <v>463</v>
      </c>
      <c r="B465" s="5" t="s">
        <v>1024</v>
      </c>
      <c r="C465" s="4" t="s">
        <v>969</v>
      </c>
      <c r="D465" s="27" t="s">
        <v>116</v>
      </c>
      <c r="E465" s="4">
        <v>42</v>
      </c>
      <c r="F465" s="5">
        <v>4</v>
      </c>
      <c r="G465" s="5">
        <v>2</v>
      </c>
      <c r="H465" s="6">
        <f t="shared" si="490"/>
        <v>0.84</v>
      </c>
      <c r="I465" s="4">
        <f t="shared" si="491"/>
        <v>6693</v>
      </c>
      <c r="J465" s="13">
        <f>ROUND(VLOOKUP(D465,[1]物品容器!$T$3:$U$8,2,FALSE)*M465,0)</f>
        <v>996</v>
      </c>
      <c r="K465" s="18">
        <f t="shared" si="492"/>
        <v>837</v>
      </c>
      <c r="L465" s="18">
        <f t="shared" ref="L465:O465" si="510">ROUND($I465*L$2,0)</f>
        <v>4016</v>
      </c>
      <c r="M465" s="7">
        <v>0.9955</v>
      </c>
      <c r="N465" s="18">
        <f t="shared" si="510"/>
        <v>1004</v>
      </c>
      <c r="O465" s="18">
        <f t="shared" si="510"/>
        <v>100395</v>
      </c>
      <c r="P465" s="18">
        <f t="shared" si="494"/>
        <v>60.24</v>
      </c>
      <c r="Q465" s="18">
        <f t="shared" si="495"/>
        <v>334</v>
      </c>
      <c r="R465" s="2" t="s">
        <v>983</v>
      </c>
      <c r="S465" s="4">
        <f t="shared" si="496"/>
        <v>230040000</v>
      </c>
      <c r="W465" s="4"/>
      <c r="X465" s="4"/>
      <c r="AD465" s="4" t="s">
        <v>183</v>
      </c>
      <c r="AE465" s="4">
        <v>160060042</v>
      </c>
    </row>
    <row r="466" s="2" customFormat="1" spans="1:31">
      <c r="A466" s="4">
        <v>464</v>
      </c>
      <c r="B466" s="5" t="s">
        <v>1025</v>
      </c>
      <c r="C466" s="41" t="s">
        <v>1026</v>
      </c>
      <c r="D466" s="22" t="s">
        <v>41</v>
      </c>
      <c r="E466" s="4">
        <v>1</v>
      </c>
      <c r="F466" s="5">
        <v>1</v>
      </c>
      <c r="G466" s="5">
        <v>2</v>
      </c>
      <c r="H466" s="6">
        <f t="shared" si="490"/>
        <v>0.97</v>
      </c>
      <c r="I466" s="4">
        <f t="shared" si="491"/>
        <v>194582</v>
      </c>
      <c r="J466" s="13">
        <f>ROUND(VLOOKUP(D466,[1]物品容器!$T$3:$U$8,2,FALSE)*M466,0)</f>
        <v>100300</v>
      </c>
      <c r="K466" s="18">
        <f t="shared" si="492"/>
        <v>97291</v>
      </c>
      <c r="L466" s="18">
        <f t="shared" ref="L466:O466" si="511">ROUND($I466*L$2,0)</f>
        <v>116749</v>
      </c>
      <c r="M466" s="7">
        <v>1.003</v>
      </c>
      <c r="N466" s="18">
        <f t="shared" si="511"/>
        <v>29187</v>
      </c>
      <c r="O466" s="18">
        <f t="shared" si="511"/>
        <v>2918730</v>
      </c>
      <c r="P466" s="18">
        <f t="shared" si="494"/>
        <v>1751.235</v>
      </c>
      <c r="Q466" s="18">
        <f t="shared" si="495"/>
        <v>9696</v>
      </c>
      <c r="R466" s="2" t="s">
        <v>1027</v>
      </c>
      <c r="S466" s="4" t="e">
        <f t="shared" si="496"/>
        <v>#N/A</v>
      </c>
      <c r="W466" s="4"/>
      <c r="X466" s="4"/>
      <c r="AD466" s="4" t="s">
        <v>186</v>
      </c>
      <c r="AE466" s="4">
        <v>160060043</v>
      </c>
    </row>
    <row r="467" s="2" customFormat="1" spans="1:31">
      <c r="A467" s="4">
        <v>465</v>
      </c>
      <c r="B467" s="5" t="s">
        <v>1028</v>
      </c>
      <c r="C467" s="41" t="s">
        <v>1026</v>
      </c>
      <c r="D467" s="22" t="s">
        <v>41</v>
      </c>
      <c r="E467" s="4">
        <v>2</v>
      </c>
      <c r="F467" s="5">
        <v>1</v>
      </c>
      <c r="G467" s="5">
        <v>2</v>
      </c>
      <c r="H467" s="6">
        <f t="shared" si="490"/>
        <v>0.97</v>
      </c>
      <c r="I467" s="4">
        <f t="shared" si="491"/>
        <v>192487</v>
      </c>
      <c r="J467" s="13">
        <f>ROUND(VLOOKUP(D467,[1]物品容器!$T$3:$U$8,2,FALSE)*M467,0)</f>
        <v>99220</v>
      </c>
      <c r="K467" s="18">
        <f t="shared" si="492"/>
        <v>96243</v>
      </c>
      <c r="L467" s="18">
        <f t="shared" ref="L467:O467" si="512">ROUND($I467*L$2,0)</f>
        <v>115492</v>
      </c>
      <c r="M467" s="7">
        <v>0.9922</v>
      </c>
      <c r="N467" s="18">
        <f t="shared" si="512"/>
        <v>28873</v>
      </c>
      <c r="O467" s="18">
        <f t="shared" si="512"/>
        <v>2887305</v>
      </c>
      <c r="P467" s="18">
        <f t="shared" si="494"/>
        <v>1732.38</v>
      </c>
      <c r="Q467" s="18">
        <f t="shared" si="495"/>
        <v>9591</v>
      </c>
      <c r="R467" s="2" t="s">
        <v>1029</v>
      </c>
      <c r="S467" s="4" t="e">
        <f t="shared" si="496"/>
        <v>#N/A</v>
      </c>
      <c r="W467" s="4"/>
      <c r="X467" s="4"/>
      <c r="AD467" s="4" t="s">
        <v>189</v>
      </c>
      <c r="AE467" s="4">
        <v>160060044</v>
      </c>
    </row>
    <row r="468" s="2" customFormat="1" spans="1:31">
      <c r="A468" s="4">
        <v>466</v>
      </c>
      <c r="B468" s="5" t="s">
        <v>1030</v>
      </c>
      <c r="C468" s="41" t="s">
        <v>1026</v>
      </c>
      <c r="D468" s="22" t="s">
        <v>41</v>
      </c>
      <c r="E468" s="4">
        <v>3</v>
      </c>
      <c r="F468" s="5">
        <v>1</v>
      </c>
      <c r="G468" s="5">
        <v>2</v>
      </c>
      <c r="H468" s="6">
        <f t="shared" si="490"/>
        <v>0.97</v>
      </c>
      <c r="I468" s="4">
        <f t="shared" si="491"/>
        <v>192603</v>
      </c>
      <c r="J468" s="13">
        <f>ROUND(VLOOKUP(D468,[1]物品容器!$T$3:$U$8,2,FALSE)*M468,0)</f>
        <v>99280</v>
      </c>
      <c r="K468" s="18">
        <f t="shared" si="492"/>
        <v>96302</v>
      </c>
      <c r="L468" s="18">
        <f t="shared" ref="L468:O468" si="513">ROUND($I468*L$2,0)</f>
        <v>115562</v>
      </c>
      <c r="M468" s="7">
        <v>0.9928</v>
      </c>
      <c r="N468" s="18">
        <f t="shared" si="513"/>
        <v>28890</v>
      </c>
      <c r="O468" s="18">
        <f t="shared" si="513"/>
        <v>2889045</v>
      </c>
      <c r="P468" s="18">
        <f t="shared" si="494"/>
        <v>1733.43</v>
      </c>
      <c r="Q468" s="18">
        <f t="shared" si="495"/>
        <v>9597</v>
      </c>
      <c r="R468" s="2" t="s">
        <v>1031</v>
      </c>
      <c r="S468" s="4" t="e">
        <f t="shared" si="496"/>
        <v>#N/A</v>
      </c>
      <c r="W468" s="4"/>
      <c r="X468" s="4"/>
      <c r="AD468" s="4" t="s">
        <v>192</v>
      </c>
      <c r="AE468" s="4">
        <v>160060045</v>
      </c>
    </row>
    <row r="469" s="2" customFormat="1" spans="1:31">
      <c r="A469" s="4">
        <v>467</v>
      </c>
      <c r="B469" s="5" t="s">
        <v>1032</v>
      </c>
      <c r="C469" s="41" t="s">
        <v>1026</v>
      </c>
      <c r="D469" s="22" t="s">
        <v>41</v>
      </c>
      <c r="E469" s="4">
        <v>4</v>
      </c>
      <c r="F469" s="5">
        <v>1</v>
      </c>
      <c r="G469" s="5">
        <v>2</v>
      </c>
      <c r="H469" s="6">
        <f t="shared" si="490"/>
        <v>0.97</v>
      </c>
      <c r="I469" s="4">
        <f t="shared" si="491"/>
        <v>194563</v>
      </c>
      <c r="J469" s="13">
        <f>ROUND(VLOOKUP(D469,[1]物品容器!$T$3:$U$8,2,FALSE)*M469,0)</f>
        <v>100290</v>
      </c>
      <c r="K469" s="18">
        <f t="shared" si="492"/>
        <v>97281</v>
      </c>
      <c r="L469" s="18">
        <f t="shared" ref="L469:O469" si="514">ROUND($I469*L$2,0)</f>
        <v>116738</v>
      </c>
      <c r="M469" s="7">
        <v>1.0029</v>
      </c>
      <c r="N469" s="18">
        <f t="shared" si="514"/>
        <v>29184</v>
      </c>
      <c r="O469" s="18">
        <f t="shared" si="514"/>
        <v>2918445</v>
      </c>
      <c r="P469" s="18">
        <f t="shared" si="494"/>
        <v>1751.07</v>
      </c>
      <c r="Q469" s="18">
        <f t="shared" si="495"/>
        <v>9695</v>
      </c>
      <c r="R469" s="2" t="s">
        <v>1033</v>
      </c>
      <c r="S469" s="4" t="e">
        <f t="shared" si="496"/>
        <v>#N/A</v>
      </c>
      <c r="W469" s="4"/>
      <c r="X469" s="4"/>
      <c r="AD469" s="4" t="s">
        <v>144</v>
      </c>
      <c r="AE469" s="4">
        <v>160060046</v>
      </c>
    </row>
    <row r="470" s="2" customFormat="1" spans="1:31">
      <c r="A470" s="4">
        <v>468</v>
      </c>
      <c r="B470" s="5" t="s">
        <v>1034</v>
      </c>
      <c r="C470" s="41" t="s">
        <v>1026</v>
      </c>
      <c r="D470" s="22" t="s">
        <v>41</v>
      </c>
      <c r="E470" s="4">
        <v>5</v>
      </c>
      <c r="F470" s="5">
        <v>1</v>
      </c>
      <c r="G470" s="5">
        <v>2</v>
      </c>
      <c r="H470" s="6">
        <f t="shared" si="490"/>
        <v>0.97</v>
      </c>
      <c r="I470" s="4">
        <f t="shared" si="491"/>
        <v>194427</v>
      </c>
      <c r="J470" s="13">
        <f>ROUND(VLOOKUP(D470,[1]物品容器!$T$3:$U$8,2,FALSE)*M470,0)</f>
        <v>100220</v>
      </c>
      <c r="K470" s="18">
        <f t="shared" si="492"/>
        <v>97213</v>
      </c>
      <c r="L470" s="18">
        <f t="shared" ref="L470:O470" si="515">ROUND($I470*L$2,0)</f>
        <v>116656</v>
      </c>
      <c r="M470" s="7">
        <v>1.0022</v>
      </c>
      <c r="N470" s="18">
        <f t="shared" si="515"/>
        <v>29164</v>
      </c>
      <c r="O470" s="18">
        <f t="shared" si="515"/>
        <v>2916405</v>
      </c>
      <c r="P470" s="18">
        <f t="shared" si="494"/>
        <v>1749.84</v>
      </c>
      <c r="Q470" s="18">
        <f t="shared" si="495"/>
        <v>9688</v>
      </c>
      <c r="R470" s="2" t="s">
        <v>1035</v>
      </c>
      <c r="S470" s="4" t="e">
        <f t="shared" si="496"/>
        <v>#N/A</v>
      </c>
      <c r="W470" s="4"/>
      <c r="X470" s="4"/>
      <c r="AD470" s="4" t="s">
        <v>147</v>
      </c>
      <c r="AE470" s="4">
        <v>160060047</v>
      </c>
    </row>
    <row r="471" s="2" customFormat="1" spans="1:31">
      <c r="A471" s="4">
        <v>469</v>
      </c>
      <c r="B471" s="5" t="s">
        <v>1036</v>
      </c>
      <c r="C471" s="41" t="s">
        <v>1026</v>
      </c>
      <c r="D471" s="22" t="s">
        <v>41</v>
      </c>
      <c r="E471" s="4">
        <v>6</v>
      </c>
      <c r="F471" s="5">
        <v>2</v>
      </c>
      <c r="G471" s="5">
        <v>2</v>
      </c>
      <c r="H471" s="6">
        <f t="shared" si="490"/>
        <v>0.91</v>
      </c>
      <c r="I471" s="4">
        <f t="shared" si="491"/>
        <v>365856</v>
      </c>
      <c r="J471" s="13">
        <f>ROUND(VLOOKUP(D471,[1]物品容器!$T$3:$U$8,2,FALSE)*M471,0)</f>
        <v>100510</v>
      </c>
      <c r="K471" s="18">
        <f t="shared" si="492"/>
        <v>91464</v>
      </c>
      <c r="L471" s="18">
        <f t="shared" ref="L471:O471" si="516">ROUND($I471*L$2,0)</f>
        <v>219514</v>
      </c>
      <c r="M471" s="7">
        <v>1.0051</v>
      </c>
      <c r="N471" s="18">
        <f t="shared" si="516"/>
        <v>54878</v>
      </c>
      <c r="O471" s="18">
        <f t="shared" si="516"/>
        <v>5487840</v>
      </c>
      <c r="P471" s="18">
        <f t="shared" si="494"/>
        <v>3292.71</v>
      </c>
      <c r="Q471" s="18">
        <f t="shared" si="495"/>
        <v>18230</v>
      </c>
      <c r="R471" s="2" t="str">
        <f>B471</f>
        <v>高级持续回血药剂</v>
      </c>
      <c r="S471" s="4" t="e">
        <f t="shared" si="496"/>
        <v>#N/A</v>
      </c>
      <c r="W471" s="4"/>
      <c r="X471" s="4"/>
      <c r="AD471" s="4" t="s">
        <v>150</v>
      </c>
      <c r="AE471" s="4">
        <v>160060048</v>
      </c>
    </row>
    <row r="472" s="2" customFormat="1" spans="1:31">
      <c r="A472" s="4">
        <v>470</v>
      </c>
      <c r="B472" s="5" t="s">
        <v>1037</v>
      </c>
      <c r="C472" s="41" t="s">
        <v>1026</v>
      </c>
      <c r="D472" s="22" t="s">
        <v>41</v>
      </c>
      <c r="E472" s="4">
        <v>7</v>
      </c>
      <c r="F472" s="5">
        <v>2</v>
      </c>
      <c r="G472" s="5">
        <v>2</v>
      </c>
      <c r="H472" s="6">
        <f t="shared" si="490"/>
        <v>0.91</v>
      </c>
      <c r="I472" s="4">
        <f t="shared" si="491"/>
        <v>362981</v>
      </c>
      <c r="J472" s="13">
        <f>ROUND(VLOOKUP(D472,[1]物品容器!$T$3:$U$8,2,FALSE)*M472,0)</f>
        <v>99720</v>
      </c>
      <c r="K472" s="18">
        <f t="shared" si="492"/>
        <v>90745</v>
      </c>
      <c r="L472" s="18">
        <f t="shared" ref="L472:O472" si="517">ROUND($I472*L$2,0)</f>
        <v>217789</v>
      </c>
      <c r="M472" s="7">
        <v>0.9972</v>
      </c>
      <c r="N472" s="18">
        <f t="shared" si="517"/>
        <v>54447</v>
      </c>
      <c r="O472" s="18">
        <f t="shared" si="517"/>
        <v>5444715</v>
      </c>
      <c r="P472" s="18">
        <f t="shared" si="494"/>
        <v>3266.835</v>
      </c>
      <c r="Q472" s="18">
        <f t="shared" si="495"/>
        <v>18087</v>
      </c>
      <c r="R472" s="2" t="str">
        <f>B472</f>
        <v>高级瞬时回血药剂</v>
      </c>
      <c r="S472" s="4" t="e">
        <f t="shared" si="496"/>
        <v>#N/A</v>
      </c>
      <c r="W472" s="4"/>
      <c r="X472" s="4"/>
      <c r="AD472" s="4" t="s">
        <v>153</v>
      </c>
      <c r="AE472" s="4">
        <v>160060049</v>
      </c>
    </row>
    <row r="473" s="2" customFormat="1" spans="1:31">
      <c r="A473" s="4">
        <v>471</v>
      </c>
      <c r="B473" s="5" t="s">
        <v>1038</v>
      </c>
      <c r="C473" s="41" t="s">
        <v>1026</v>
      </c>
      <c r="D473" s="24" t="s">
        <v>63</v>
      </c>
      <c r="E473" s="4">
        <v>8</v>
      </c>
      <c r="F473" s="5">
        <v>1</v>
      </c>
      <c r="G473" s="5">
        <v>1</v>
      </c>
      <c r="H473" s="6">
        <f t="shared" si="490"/>
        <v>1</v>
      </c>
      <c r="I473" s="4">
        <f t="shared" si="491"/>
        <v>29880</v>
      </c>
      <c r="J473" s="13">
        <f>ROUND(VLOOKUP(D473,[1]物品容器!$T$3:$U$8,2,FALSE)*M473,0)</f>
        <v>29880</v>
      </c>
      <c r="K473" s="18">
        <f t="shared" si="492"/>
        <v>29880</v>
      </c>
      <c r="L473" s="18">
        <f t="shared" ref="L473:O473" si="518">ROUND($I473*L$2,0)</f>
        <v>17928</v>
      </c>
      <c r="M473" s="7">
        <v>0.996</v>
      </c>
      <c r="N473" s="18">
        <f t="shared" si="518"/>
        <v>4482</v>
      </c>
      <c r="O473" s="18">
        <f t="shared" si="518"/>
        <v>448200</v>
      </c>
      <c r="P473" s="18">
        <f t="shared" si="494"/>
        <v>268.92</v>
      </c>
      <c r="Q473" s="18">
        <f t="shared" si="495"/>
        <v>1489</v>
      </c>
      <c r="R473" s="2" t="s">
        <v>1039</v>
      </c>
      <c r="S473" s="4" t="e">
        <f t="shared" si="496"/>
        <v>#N/A</v>
      </c>
      <c r="W473" s="4"/>
      <c r="X473" s="4"/>
      <c r="AD473" s="4" t="s">
        <v>156</v>
      </c>
      <c r="AE473" s="4">
        <v>160060050</v>
      </c>
    </row>
    <row r="474" s="2" customFormat="1" spans="1:31">
      <c r="A474" s="4">
        <v>472</v>
      </c>
      <c r="B474" s="5" t="s">
        <v>1040</v>
      </c>
      <c r="C474" s="41" t="s">
        <v>1026</v>
      </c>
      <c r="D474" s="24" t="s">
        <v>63</v>
      </c>
      <c r="E474" s="4">
        <v>9</v>
      </c>
      <c r="F474" s="5">
        <v>1</v>
      </c>
      <c r="G474" s="5">
        <v>1</v>
      </c>
      <c r="H474" s="6">
        <f t="shared" si="490"/>
        <v>1</v>
      </c>
      <c r="I474" s="4">
        <f t="shared" si="491"/>
        <v>30255</v>
      </c>
      <c r="J474" s="13">
        <f>ROUND(VLOOKUP(D474,[1]物品容器!$T$3:$U$8,2,FALSE)*M474,0)</f>
        <v>30255</v>
      </c>
      <c r="K474" s="18">
        <f t="shared" si="492"/>
        <v>30255</v>
      </c>
      <c r="L474" s="18">
        <f t="shared" ref="L474:O474" si="519">ROUND($I474*L$2,0)</f>
        <v>18153</v>
      </c>
      <c r="M474" s="7">
        <v>1.0085</v>
      </c>
      <c r="N474" s="18">
        <f t="shared" si="519"/>
        <v>4538</v>
      </c>
      <c r="O474" s="18">
        <f t="shared" si="519"/>
        <v>453825</v>
      </c>
      <c r="P474" s="18">
        <f t="shared" si="494"/>
        <v>272.295</v>
      </c>
      <c r="Q474" s="18">
        <f t="shared" si="495"/>
        <v>1508</v>
      </c>
      <c r="R474" s="2" t="s">
        <v>1041</v>
      </c>
      <c r="S474" s="4" t="e">
        <f t="shared" si="496"/>
        <v>#N/A</v>
      </c>
      <c r="W474" s="4"/>
      <c r="X474" s="4"/>
      <c r="AD474" s="4" t="s">
        <v>159</v>
      </c>
      <c r="AE474" s="4">
        <v>160060051</v>
      </c>
    </row>
    <row r="475" s="2" customFormat="1" spans="1:31">
      <c r="A475" s="4">
        <v>473</v>
      </c>
      <c r="B475" s="5" t="s">
        <v>1042</v>
      </c>
      <c r="C475" s="41" t="s">
        <v>1026</v>
      </c>
      <c r="D475" s="24" t="s">
        <v>63</v>
      </c>
      <c r="E475" s="4">
        <v>10</v>
      </c>
      <c r="F475" s="5">
        <v>1</v>
      </c>
      <c r="G475" s="5">
        <v>1</v>
      </c>
      <c r="H475" s="6">
        <f t="shared" si="490"/>
        <v>1</v>
      </c>
      <c r="I475" s="4">
        <f t="shared" si="491"/>
        <v>30183</v>
      </c>
      <c r="J475" s="13">
        <f>ROUND(VLOOKUP(D475,[1]物品容器!$T$3:$U$8,2,FALSE)*M475,0)</f>
        <v>30183</v>
      </c>
      <c r="K475" s="18">
        <f t="shared" si="492"/>
        <v>30183</v>
      </c>
      <c r="L475" s="18">
        <f t="shared" ref="L475:O475" si="520">ROUND($I475*L$2,0)</f>
        <v>18110</v>
      </c>
      <c r="M475" s="7">
        <v>1.0061</v>
      </c>
      <c r="N475" s="18">
        <f t="shared" si="520"/>
        <v>4527</v>
      </c>
      <c r="O475" s="18">
        <f t="shared" si="520"/>
        <v>452745</v>
      </c>
      <c r="P475" s="18">
        <f t="shared" si="494"/>
        <v>271.65</v>
      </c>
      <c r="Q475" s="18">
        <f t="shared" si="495"/>
        <v>1504</v>
      </c>
      <c r="R475" s="2" t="s">
        <v>1043</v>
      </c>
      <c r="S475" s="4" t="e">
        <f t="shared" si="496"/>
        <v>#N/A</v>
      </c>
      <c r="W475" s="4"/>
      <c r="X475" s="4"/>
      <c r="AD475" s="4" t="s">
        <v>162</v>
      </c>
      <c r="AE475" s="4">
        <v>160060052</v>
      </c>
    </row>
    <row r="476" s="2" customFormat="1" spans="1:31">
      <c r="A476" s="4">
        <v>474</v>
      </c>
      <c r="B476" s="5" t="s">
        <v>1044</v>
      </c>
      <c r="C476" s="41" t="s">
        <v>1026</v>
      </c>
      <c r="D476" s="24" t="s">
        <v>63</v>
      </c>
      <c r="E476" s="4">
        <v>11</v>
      </c>
      <c r="F476" s="5">
        <v>1</v>
      </c>
      <c r="G476" s="5">
        <v>1</v>
      </c>
      <c r="H476" s="6">
        <f t="shared" si="490"/>
        <v>1</v>
      </c>
      <c r="I476" s="4">
        <f t="shared" si="491"/>
        <v>30225</v>
      </c>
      <c r="J476" s="13">
        <f>ROUND(VLOOKUP(D476,[1]物品容器!$T$3:$U$8,2,FALSE)*M476,0)</f>
        <v>30225</v>
      </c>
      <c r="K476" s="18">
        <f t="shared" si="492"/>
        <v>30225</v>
      </c>
      <c r="L476" s="18">
        <f t="shared" ref="L476:O476" si="521">ROUND($I476*L$2,0)</f>
        <v>18135</v>
      </c>
      <c r="M476" s="7">
        <v>1.0075</v>
      </c>
      <c r="N476" s="18">
        <f t="shared" si="521"/>
        <v>4534</v>
      </c>
      <c r="O476" s="18">
        <f t="shared" si="521"/>
        <v>453375</v>
      </c>
      <c r="P476" s="18">
        <f t="shared" si="494"/>
        <v>272.025</v>
      </c>
      <c r="Q476" s="18">
        <f t="shared" si="495"/>
        <v>1506</v>
      </c>
      <c r="R476" s="2" t="s">
        <v>1045</v>
      </c>
      <c r="S476" s="4" t="e">
        <f t="shared" si="496"/>
        <v>#N/A</v>
      </c>
      <c r="W476" s="4"/>
      <c r="X476" s="4"/>
      <c r="AD476" s="4" t="s">
        <v>165</v>
      </c>
      <c r="AE476" s="4">
        <v>160060053</v>
      </c>
    </row>
    <row r="477" s="2" customFormat="1" spans="1:31">
      <c r="A477" s="4">
        <v>475</v>
      </c>
      <c r="B477" s="5" t="s">
        <v>1046</v>
      </c>
      <c r="C477" s="41" t="s">
        <v>1026</v>
      </c>
      <c r="D477" s="24" t="s">
        <v>63</v>
      </c>
      <c r="E477" s="4">
        <v>12</v>
      </c>
      <c r="F477" s="5">
        <v>1</v>
      </c>
      <c r="G477" s="5">
        <v>1</v>
      </c>
      <c r="H477" s="6">
        <f t="shared" si="490"/>
        <v>1</v>
      </c>
      <c r="I477" s="4">
        <f t="shared" si="491"/>
        <v>29727</v>
      </c>
      <c r="J477" s="13">
        <f>ROUND(VLOOKUP(D477,[1]物品容器!$T$3:$U$8,2,FALSE)*M477,0)</f>
        <v>29727</v>
      </c>
      <c r="K477" s="18">
        <f t="shared" si="492"/>
        <v>29727</v>
      </c>
      <c r="L477" s="18">
        <f t="shared" ref="L477:O477" si="522">ROUND($I477*L$2,0)</f>
        <v>17836</v>
      </c>
      <c r="M477" s="7">
        <v>0.9909</v>
      </c>
      <c r="N477" s="18">
        <f t="shared" si="522"/>
        <v>4459</v>
      </c>
      <c r="O477" s="18">
        <f t="shared" si="522"/>
        <v>445905</v>
      </c>
      <c r="P477" s="18">
        <f t="shared" si="494"/>
        <v>267.54</v>
      </c>
      <c r="Q477" s="18">
        <f t="shared" si="495"/>
        <v>1481</v>
      </c>
      <c r="R477" s="2" t="s">
        <v>1047</v>
      </c>
      <c r="S477" s="4" t="e">
        <f t="shared" si="496"/>
        <v>#N/A</v>
      </c>
      <c r="W477" s="4"/>
      <c r="X477" s="4"/>
      <c r="AD477" s="4" t="s">
        <v>125</v>
      </c>
      <c r="AE477" s="4">
        <v>160060054</v>
      </c>
    </row>
    <row r="478" s="2" customFormat="1" spans="1:31">
      <c r="A478" s="4">
        <v>476</v>
      </c>
      <c r="B478" s="5" t="s">
        <v>1048</v>
      </c>
      <c r="C478" s="41" t="s">
        <v>1026</v>
      </c>
      <c r="D478" s="24" t="s">
        <v>63</v>
      </c>
      <c r="E478" s="4">
        <v>13</v>
      </c>
      <c r="F478" s="5">
        <v>1</v>
      </c>
      <c r="G478" s="5">
        <v>2</v>
      </c>
      <c r="H478" s="6">
        <f t="shared" si="490"/>
        <v>0.97</v>
      </c>
      <c r="I478" s="4">
        <f t="shared" si="491"/>
        <v>57694</v>
      </c>
      <c r="J478" s="13">
        <f>ROUND(VLOOKUP(D478,[1]物品容器!$T$3:$U$8,2,FALSE)*M478,0)</f>
        <v>29739</v>
      </c>
      <c r="K478" s="18">
        <f t="shared" si="492"/>
        <v>28847</v>
      </c>
      <c r="L478" s="18">
        <f t="shared" ref="L478:O478" si="523">ROUND($I478*L$2,0)</f>
        <v>34616</v>
      </c>
      <c r="M478" s="7">
        <v>0.9913</v>
      </c>
      <c r="N478" s="18">
        <f t="shared" si="523"/>
        <v>8654</v>
      </c>
      <c r="O478" s="18">
        <f t="shared" si="523"/>
        <v>865410</v>
      </c>
      <c r="P478" s="18">
        <f t="shared" si="494"/>
        <v>519.24</v>
      </c>
      <c r="Q478" s="18">
        <f t="shared" si="495"/>
        <v>2875</v>
      </c>
      <c r="R478" s="2" t="str">
        <f>B478</f>
        <v>史诗持续回血药剂</v>
      </c>
      <c r="S478" s="4" t="e">
        <f t="shared" si="496"/>
        <v>#N/A</v>
      </c>
      <c r="W478" s="4"/>
      <c r="X478" s="4"/>
      <c r="AD478" s="4" t="s">
        <v>129</v>
      </c>
      <c r="AE478" s="4">
        <v>160060055</v>
      </c>
    </row>
    <row r="479" s="2" customFormat="1" spans="1:31">
      <c r="A479" s="4">
        <v>477</v>
      </c>
      <c r="B479" s="5" t="s">
        <v>1049</v>
      </c>
      <c r="C479" s="41" t="s">
        <v>1026</v>
      </c>
      <c r="D479" s="24" t="s">
        <v>63</v>
      </c>
      <c r="E479" s="4">
        <v>14</v>
      </c>
      <c r="F479" s="5">
        <v>1</v>
      </c>
      <c r="G479" s="5">
        <v>2</v>
      </c>
      <c r="H479" s="6">
        <f t="shared" si="490"/>
        <v>0.97</v>
      </c>
      <c r="I479" s="4">
        <f t="shared" si="491"/>
        <v>58241</v>
      </c>
      <c r="J479" s="13">
        <f>ROUND(VLOOKUP(D479,[1]物品容器!$T$3:$U$8,2,FALSE)*M479,0)</f>
        <v>30021</v>
      </c>
      <c r="K479" s="18">
        <f t="shared" si="492"/>
        <v>29120</v>
      </c>
      <c r="L479" s="18">
        <f t="shared" ref="L479:O479" si="524">ROUND($I479*L$2,0)</f>
        <v>34945</v>
      </c>
      <c r="M479" s="7">
        <v>1.0007</v>
      </c>
      <c r="N479" s="18">
        <f t="shared" si="524"/>
        <v>8736</v>
      </c>
      <c r="O479" s="18">
        <f t="shared" si="524"/>
        <v>873615</v>
      </c>
      <c r="P479" s="18">
        <f t="shared" si="494"/>
        <v>524.175</v>
      </c>
      <c r="Q479" s="18">
        <f t="shared" si="495"/>
        <v>2902</v>
      </c>
      <c r="R479" s="2" t="str">
        <f>B479</f>
        <v>史诗瞬时回血药剂</v>
      </c>
      <c r="S479" s="4" t="e">
        <f t="shared" si="496"/>
        <v>#N/A</v>
      </c>
      <c r="W479" s="4"/>
      <c r="X479" s="4"/>
      <c r="AD479" s="4" t="s">
        <v>132</v>
      </c>
      <c r="AE479" s="4">
        <v>160060056</v>
      </c>
    </row>
    <row r="480" s="2" customFormat="1" spans="1:31">
      <c r="A480" s="4">
        <v>478</v>
      </c>
      <c r="B480" s="5" t="s">
        <v>1050</v>
      </c>
      <c r="C480" s="41" t="s">
        <v>1026</v>
      </c>
      <c r="D480" s="25" t="s">
        <v>76</v>
      </c>
      <c r="E480" s="4">
        <v>15</v>
      </c>
      <c r="F480" s="5">
        <v>1</v>
      </c>
      <c r="G480" s="5">
        <v>1</v>
      </c>
      <c r="H480" s="6">
        <f t="shared" si="490"/>
        <v>1</v>
      </c>
      <c r="I480" s="4">
        <f t="shared" si="491"/>
        <v>9974</v>
      </c>
      <c r="J480" s="13">
        <f>ROUND(VLOOKUP(D480,[1]物品容器!$T$3:$U$8,2,FALSE)*M480,0)</f>
        <v>9974</v>
      </c>
      <c r="K480" s="18">
        <f t="shared" si="492"/>
        <v>9974</v>
      </c>
      <c r="L480" s="18">
        <f t="shared" ref="L480:O480" si="525">ROUND($I480*L$2,0)</f>
        <v>5984</v>
      </c>
      <c r="M480" s="7">
        <v>0.9974</v>
      </c>
      <c r="N480" s="18">
        <f t="shared" si="525"/>
        <v>1496</v>
      </c>
      <c r="O480" s="18">
        <f t="shared" si="525"/>
        <v>149610</v>
      </c>
      <c r="P480" s="18">
        <f t="shared" si="494"/>
        <v>89.76</v>
      </c>
      <c r="Q480" s="18">
        <f t="shared" si="495"/>
        <v>497</v>
      </c>
      <c r="R480" s="2" t="s">
        <v>1051</v>
      </c>
      <c r="S480" s="4" t="e">
        <f t="shared" si="496"/>
        <v>#N/A</v>
      </c>
      <c r="W480" s="4"/>
      <c r="X480" s="4"/>
      <c r="AD480" s="4" t="s">
        <v>135</v>
      </c>
      <c r="AE480" s="4">
        <v>160060057</v>
      </c>
    </row>
    <row r="481" s="2" customFormat="1" spans="1:31">
      <c r="A481" s="4">
        <v>479</v>
      </c>
      <c r="B481" s="5" t="s">
        <v>1052</v>
      </c>
      <c r="C481" s="41" t="s">
        <v>1026</v>
      </c>
      <c r="D481" s="25" t="s">
        <v>76</v>
      </c>
      <c r="E481" s="4">
        <v>16</v>
      </c>
      <c r="F481" s="5">
        <v>1</v>
      </c>
      <c r="G481" s="5">
        <v>1</v>
      </c>
      <c r="H481" s="6">
        <f t="shared" si="490"/>
        <v>1</v>
      </c>
      <c r="I481" s="4">
        <f t="shared" si="491"/>
        <v>9944</v>
      </c>
      <c r="J481" s="13">
        <f>ROUND(VLOOKUP(D481,[1]物品容器!$T$3:$U$8,2,FALSE)*M481,0)</f>
        <v>9944</v>
      </c>
      <c r="K481" s="18">
        <f t="shared" si="492"/>
        <v>9944</v>
      </c>
      <c r="L481" s="18">
        <f t="shared" ref="L481:O481" si="526">ROUND($I481*L$2,0)</f>
        <v>5966</v>
      </c>
      <c r="M481" s="7">
        <v>0.9944</v>
      </c>
      <c r="N481" s="18">
        <f t="shared" si="526"/>
        <v>1492</v>
      </c>
      <c r="O481" s="18">
        <f t="shared" si="526"/>
        <v>149160</v>
      </c>
      <c r="P481" s="18">
        <f t="shared" si="494"/>
        <v>89.49</v>
      </c>
      <c r="Q481" s="18">
        <f t="shared" si="495"/>
        <v>495</v>
      </c>
      <c r="R481" s="2" t="s">
        <v>1053</v>
      </c>
      <c r="S481" s="4" t="e">
        <f t="shared" si="496"/>
        <v>#N/A</v>
      </c>
      <c r="W481" s="4"/>
      <c r="X481" s="4"/>
      <c r="AD481" s="4" t="s">
        <v>138</v>
      </c>
      <c r="AE481" s="4">
        <v>160060058</v>
      </c>
    </row>
    <row r="482" s="2" customFormat="1" spans="1:31">
      <c r="A482" s="4">
        <v>480</v>
      </c>
      <c r="B482" s="5" t="s">
        <v>1054</v>
      </c>
      <c r="C482" s="41" t="s">
        <v>1026</v>
      </c>
      <c r="D482" s="25" t="s">
        <v>76</v>
      </c>
      <c r="E482" s="4">
        <v>17</v>
      </c>
      <c r="F482" s="5">
        <v>1</v>
      </c>
      <c r="G482" s="5">
        <v>1</v>
      </c>
      <c r="H482" s="6">
        <f t="shared" si="490"/>
        <v>1</v>
      </c>
      <c r="I482" s="4">
        <f t="shared" si="491"/>
        <v>10088</v>
      </c>
      <c r="J482" s="13">
        <f>ROUND(VLOOKUP(D482,[1]物品容器!$T$3:$U$8,2,FALSE)*M482,0)</f>
        <v>10088</v>
      </c>
      <c r="K482" s="18">
        <f t="shared" si="492"/>
        <v>10088</v>
      </c>
      <c r="L482" s="18">
        <f t="shared" ref="L482:O482" si="527">ROUND($I482*L$2,0)</f>
        <v>6053</v>
      </c>
      <c r="M482" s="7">
        <v>1.0088</v>
      </c>
      <c r="N482" s="18">
        <f t="shared" si="527"/>
        <v>1513</v>
      </c>
      <c r="O482" s="18">
        <f t="shared" si="527"/>
        <v>151320</v>
      </c>
      <c r="P482" s="18">
        <f t="shared" si="494"/>
        <v>90.795</v>
      </c>
      <c r="Q482" s="18">
        <f t="shared" si="495"/>
        <v>503</v>
      </c>
      <c r="R482" s="2" t="s">
        <v>1055</v>
      </c>
      <c r="S482" s="4" t="e">
        <f t="shared" si="496"/>
        <v>#N/A</v>
      </c>
      <c r="W482" s="4"/>
      <c r="X482" s="4"/>
      <c r="AD482" s="4" t="s">
        <v>141</v>
      </c>
      <c r="AE482" s="4">
        <v>160060059</v>
      </c>
    </row>
    <row r="483" s="2" customFormat="1" spans="1:31">
      <c r="A483" s="4">
        <v>481</v>
      </c>
      <c r="B483" s="5" t="s">
        <v>1056</v>
      </c>
      <c r="C483" s="41" t="s">
        <v>1026</v>
      </c>
      <c r="D483" s="25" t="s">
        <v>76</v>
      </c>
      <c r="E483" s="4">
        <v>18</v>
      </c>
      <c r="F483" s="5">
        <v>1</v>
      </c>
      <c r="G483" s="5">
        <v>1</v>
      </c>
      <c r="H483" s="6">
        <f t="shared" si="490"/>
        <v>1</v>
      </c>
      <c r="I483" s="4">
        <f t="shared" si="491"/>
        <v>10029</v>
      </c>
      <c r="J483" s="13">
        <f>ROUND(VLOOKUP(D483,[1]物品容器!$T$3:$U$8,2,FALSE)*M483,0)</f>
        <v>10029</v>
      </c>
      <c r="K483" s="18">
        <f t="shared" si="492"/>
        <v>10029</v>
      </c>
      <c r="L483" s="18">
        <f t="shared" ref="L483:O483" si="528">ROUND($I483*L$2,0)</f>
        <v>6017</v>
      </c>
      <c r="M483" s="7">
        <v>1.0029</v>
      </c>
      <c r="N483" s="18">
        <f t="shared" si="528"/>
        <v>1504</v>
      </c>
      <c r="O483" s="18">
        <f t="shared" si="528"/>
        <v>150435</v>
      </c>
      <c r="P483" s="18">
        <f t="shared" si="494"/>
        <v>90.255</v>
      </c>
      <c r="Q483" s="18">
        <f t="shared" si="495"/>
        <v>500</v>
      </c>
      <c r="R483" s="2" t="s">
        <v>1057</v>
      </c>
      <c r="S483" s="4" t="e">
        <f t="shared" si="496"/>
        <v>#N/A</v>
      </c>
      <c r="W483" s="4"/>
      <c r="X483" s="4"/>
      <c r="AD483" s="4" t="s">
        <v>672</v>
      </c>
      <c r="AE483" s="4">
        <v>160070001</v>
      </c>
    </row>
    <row r="484" s="2" customFormat="1" spans="1:31">
      <c r="A484" s="4">
        <v>482</v>
      </c>
      <c r="B484" s="5" t="s">
        <v>1058</v>
      </c>
      <c r="C484" s="41" t="s">
        <v>1026</v>
      </c>
      <c r="D484" s="25" t="s">
        <v>76</v>
      </c>
      <c r="E484" s="4">
        <v>19</v>
      </c>
      <c r="F484" s="5">
        <v>1</v>
      </c>
      <c r="G484" s="5">
        <v>1</v>
      </c>
      <c r="H484" s="6">
        <f t="shared" si="490"/>
        <v>1</v>
      </c>
      <c r="I484" s="4">
        <f t="shared" si="491"/>
        <v>10047</v>
      </c>
      <c r="J484" s="13">
        <f>ROUND(VLOOKUP(D484,[1]物品容器!$T$3:$U$8,2,FALSE)*M484,0)</f>
        <v>10047</v>
      </c>
      <c r="K484" s="18">
        <f t="shared" si="492"/>
        <v>10047</v>
      </c>
      <c r="L484" s="18">
        <f t="shared" ref="L484:O484" si="529">ROUND($I484*L$2,0)</f>
        <v>6028</v>
      </c>
      <c r="M484" s="7">
        <v>1.0047</v>
      </c>
      <c r="N484" s="18">
        <f t="shared" si="529"/>
        <v>1507</v>
      </c>
      <c r="O484" s="18">
        <f t="shared" si="529"/>
        <v>150705</v>
      </c>
      <c r="P484" s="18">
        <f t="shared" si="494"/>
        <v>90.42</v>
      </c>
      <c r="Q484" s="18">
        <f t="shared" si="495"/>
        <v>501</v>
      </c>
      <c r="R484" s="2" t="s">
        <v>1059</v>
      </c>
      <c r="S484" s="4" t="e">
        <f t="shared" si="496"/>
        <v>#N/A</v>
      </c>
      <c r="W484" s="4"/>
      <c r="X484" s="4"/>
      <c r="AD484" s="4" t="s">
        <v>674</v>
      </c>
      <c r="AE484" s="4">
        <v>160070002</v>
      </c>
    </row>
    <row r="485" s="2" customFormat="1" spans="1:31">
      <c r="A485" s="4">
        <v>483</v>
      </c>
      <c r="B485" s="5" t="s">
        <v>1060</v>
      </c>
      <c r="C485" s="41" t="s">
        <v>1026</v>
      </c>
      <c r="D485" s="25" t="s">
        <v>76</v>
      </c>
      <c r="E485" s="4">
        <v>20</v>
      </c>
      <c r="F485" s="5">
        <v>1</v>
      </c>
      <c r="G485" s="5">
        <v>2</v>
      </c>
      <c r="H485" s="6">
        <f t="shared" si="490"/>
        <v>0.97</v>
      </c>
      <c r="I485" s="4">
        <f t="shared" si="491"/>
        <v>19524</v>
      </c>
      <c r="J485" s="13">
        <f>ROUND(VLOOKUP(D485,[1]物品容器!$T$3:$U$8,2,FALSE)*M485,0)</f>
        <v>10064</v>
      </c>
      <c r="K485" s="18">
        <f t="shared" si="492"/>
        <v>9762</v>
      </c>
      <c r="L485" s="18">
        <f t="shared" ref="L485:O485" si="530">ROUND($I485*L$2,0)</f>
        <v>11714</v>
      </c>
      <c r="M485" s="7">
        <v>1.0064</v>
      </c>
      <c r="N485" s="18">
        <f t="shared" si="530"/>
        <v>2929</v>
      </c>
      <c r="O485" s="18">
        <f t="shared" si="530"/>
        <v>292860</v>
      </c>
      <c r="P485" s="18">
        <f t="shared" si="494"/>
        <v>175.71</v>
      </c>
      <c r="Q485" s="18">
        <f t="shared" si="495"/>
        <v>973</v>
      </c>
      <c r="R485" s="2" t="str">
        <f>B485</f>
        <v>英雄持续回血药剂</v>
      </c>
      <c r="S485" s="4" t="e">
        <f t="shared" si="496"/>
        <v>#N/A</v>
      </c>
      <c r="W485" s="4"/>
      <c r="X485" s="4"/>
      <c r="AD485" s="4" t="s">
        <v>676</v>
      </c>
      <c r="AE485" s="4">
        <v>160070003</v>
      </c>
    </row>
    <row r="486" s="2" customFormat="1" spans="1:31">
      <c r="A486" s="4">
        <v>484</v>
      </c>
      <c r="B486" s="5" t="s">
        <v>1061</v>
      </c>
      <c r="C486" s="41" t="s">
        <v>1026</v>
      </c>
      <c r="D486" s="25" t="s">
        <v>76</v>
      </c>
      <c r="E486" s="4">
        <v>21</v>
      </c>
      <c r="F486" s="5">
        <v>1</v>
      </c>
      <c r="G486" s="5">
        <v>2</v>
      </c>
      <c r="H486" s="6">
        <f t="shared" si="490"/>
        <v>0.97</v>
      </c>
      <c r="I486" s="4">
        <f t="shared" si="491"/>
        <v>19555</v>
      </c>
      <c r="J486" s="13">
        <f>ROUND(VLOOKUP(D486,[1]物品容器!$T$3:$U$8,2,FALSE)*M486,0)</f>
        <v>10080</v>
      </c>
      <c r="K486" s="18">
        <f t="shared" si="492"/>
        <v>9778</v>
      </c>
      <c r="L486" s="18">
        <f t="shared" ref="L486:O486" si="531">ROUND($I486*L$2,0)</f>
        <v>11733</v>
      </c>
      <c r="M486" s="7">
        <v>1.008</v>
      </c>
      <c r="N486" s="18">
        <f t="shared" si="531"/>
        <v>2933</v>
      </c>
      <c r="O486" s="18">
        <f t="shared" si="531"/>
        <v>293325</v>
      </c>
      <c r="P486" s="18">
        <f t="shared" si="494"/>
        <v>175.995</v>
      </c>
      <c r="Q486" s="18">
        <f t="shared" si="495"/>
        <v>974</v>
      </c>
      <c r="R486" s="2" t="str">
        <f>B486</f>
        <v>英雄瞬时回血药剂</v>
      </c>
      <c r="S486" s="4" t="e">
        <f t="shared" si="496"/>
        <v>#N/A</v>
      </c>
      <c r="W486" s="4"/>
      <c r="X486" s="4"/>
      <c r="AD486" s="4" t="s">
        <v>678</v>
      </c>
      <c r="AE486" s="4">
        <v>160070004</v>
      </c>
    </row>
    <row r="487" s="2" customFormat="1" spans="1:31">
      <c r="A487" s="4">
        <v>485</v>
      </c>
      <c r="B487" s="5" t="s">
        <v>1062</v>
      </c>
      <c r="C487" s="41" t="s">
        <v>1026</v>
      </c>
      <c r="D487" s="26" t="s">
        <v>94</v>
      </c>
      <c r="E487" s="4">
        <v>22</v>
      </c>
      <c r="F487" s="5">
        <v>1</v>
      </c>
      <c r="G487" s="5">
        <v>1</v>
      </c>
      <c r="H487" s="6">
        <f t="shared" si="490"/>
        <v>1</v>
      </c>
      <c r="I487" s="4">
        <f t="shared" si="491"/>
        <v>3029</v>
      </c>
      <c r="J487" s="13">
        <f>ROUND(VLOOKUP(D487,[1]物品容器!$T$3:$U$8,2,FALSE)*M487,0)</f>
        <v>3029</v>
      </c>
      <c r="K487" s="18">
        <f t="shared" si="492"/>
        <v>3029</v>
      </c>
      <c r="L487" s="18">
        <f t="shared" ref="L487:O487" si="532">ROUND($I487*L$2,0)</f>
        <v>1817</v>
      </c>
      <c r="M487" s="7">
        <v>1.0096</v>
      </c>
      <c r="N487" s="18">
        <f t="shared" si="532"/>
        <v>454</v>
      </c>
      <c r="O487" s="18">
        <f t="shared" si="532"/>
        <v>45435</v>
      </c>
      <c r="P487" s="18">
        <f t="shared" si="494"/>
        <v>27.255</v>
      </c>
      <c r="Q487" s="18">
        <f t="shared" si="495"/>
        <v>151</v>
      </c>
      <c r="R487" s="2" t="s">
        <v>1063</v>
      </c>
      <c r="S487" s="4" t="e">
        <f t="shared" si="496"/>
        <v>#N/A</v>
      </c>
      <c r="W487" s="4"/>
      <c r="X487" s="4"/>
      <c r="AD487" s="4" t="s">
        <v>666</v>
      </c>
      <c r="AE487" s="4">
        <v>160070005</v>
      </c>
    </row>
    <row r="488" s="2" customFormat="1" spans="1:31">
      <c r="A488" s="4">
        <v>486</v>
      </c>
      <c r="B488" s="5" t="s">
        <v>1064</v>
      </c>
      <c r="C488" s="41" t="s">
        <v>1026</v>
      </c>
      <c r="D488" s="26" t="s">
        <v>94</v>
      </c>
      <c r="E488" s="4">
        <v>23</v>
      </c>
      <c r="F488" s="5">
        <v>1</v>
      </c>
      <c r="G488" s="5">
        <v>1</v>
      </c>
      <c r="H488" s="6">
        <f t="shared" si="490"/>
        <v>1</v>
      </c>
      <c r="I488" s="4">
        <f t="shared" si="491"/>
        <v>3007</v>
      </c>
      <c r="J488" s="13">
        <f>ROUND(VLOOKUP(D488,[1]物品容器!$T$3:$U$8,2,FALSE)*M488,0)</f>
        <v>3007</v>
      </c>
      <c r="K488" s="18">
        <f t="shared" si="492"/>
        <v>3007</v>
      </c>
      <c r="L488" s="18">
        <f t="shared" ref="L488:O488" si="533">ROUND($I488*L$2,0)</f>
        <v>1804</v>
      </c>
      <c r="M488" s="7">
        <v>1.0024</v>
      </c>
      <c r="N488" s="18">
        <f t="shared" si="533"/>
        <v>451</v>
      </c>
      <c r="O488" s="18">
        <f t="shared" si="533"/>
        <v>45105</v>
      </c>
      <c r="P488" s="18">
        <f t="shared" si="494"/>
        <v>27.06</v>
      </c>
      <c r="Q488" s="18">
        <f t="shared" si="495"/>
        <v>150</v>
      </c>
      <c r="R488" s="2" t="s">
        <v>1065</v>
      </c>
      <c r="S488" s="4" t="e">
        <f t="shared" si="496"/>
        <v>#N/A</v>
      </c>
      <c r="W488" s="4"/>
      <c r="X488" s="4"/>
      <c r="AD488" s="4" t="s">
        <v>668</v>
      </c>
      <c r="AE488" s="4">
        <v>160070006</v>
      </c>
    </row>
    <row r="489" s="2" customFormat="1" spans="1:31">
      <c r="A489" s="4">
        <v>487</v>
      </c>
      <c r="B489" s="5" t="s">
        <v>1066</v>
      </c>
      <c r="C489" s="41" t="s">
        <v>1026</v>
      </c>
      <c r="D489" s="26" t="s">
        <v>94</v>
      </c>
      <c r="E489" s="4">
        <v>24</v>
      </c>
      <c r="F489" s="5">
        <v>1</v>
      </c>
      <c r="G489" s="5">
        <v>1</v>
      </c>
      <c r="H489" s="6">
        <f t="shared" si="490"/>
        <v>1</v>
      </c>
      <c r="I489" s="4">
        <f t="shared" si="491"/>
        <v>2986</v>
      </c>
      <c r="J489" s="13">
        <f>ROUND(VLOOKUP(D489,[1]物品容器!$T$3:$U$8,2,FALSE)*M489,0)</f>
        <v>2986</v>
      </c>
      <c r="K489" s="18">
        <f t="shared" si="492"/>
        <v>2986</v>
      </c>
      <c r="L489" s="18">
        <f t="shared" ref="L489:O489" si="534">ROUND($I489*L$2,0)</f>
        <v>1792</v>
      </c>
      <c r="M489" s="7">
        <v>0.9954</v>
      </c>
      <c r="N489" s="18">
        <f t="shared" si="534"/>
        <v>448</v>
      </c>
      <c r="O489" s="18">
        <f t="shared" si="534"/>
        <v>44790</v>
      </c>
      <c r="P489" s="18">
        <f t="shared" si="494"/>
        <v>26.88</v>
      </c>
      <c r="Q489" s="18">
        <f t="shared" si="495"/>
        <v>149</v>
      </c>
      <c r="R489" s="2" t="s">
        <v>1067</v>
      </c>
      <c r="S489" s="4" t="e">
        <f t="shared" si="496"/>
        <v>#N/A</v>
      </c>
      <c r="W489" s="4"/>
      <c r="X489" s="4"/>
      <c r="AD489" s="4" t="s">
        <v>670</v>
      </c>
      <c r="AE489" s="4">
        <v>160070007</v>
      </c>
    </row>
    <row r="490" s="2" customFormat="1" spans="1:31">
      <c r="A490" s="4">
        <v>488</v>
      </c>
      <c r="B490" s="5" t="s">
        <v>1068</v>
      </c>
      <c r="C490" s="41" t="s">
        <v>1026</v>
      </c>
      <c r="D490" s="26" t="s">
        <v>94</v>
      </c>
      <c r="E490" s="4">
        <v>25</v>
      </c>
      <c r="F490" s="5">
        <v>1</v>
      </c>
      <c r="G490" s="5">
        <v>1</v>
      </c>
      <c r="H490" s="6">
        <f t="shared" si="490"/>
        <v>1</v>
      </c>
      <c r="I490" s="4">
        <f t="shared" si="491"/>
        <v>3012</v>
      </c>
      <c r="J490" s="13">
        <f>ROUND(VLOOKUP(D490,[1]物品容器!$T$3:$U$8,2,FALSE)*M490,0)</f>
        <v>3012</v>
      </c>
      <c r="K490" s="18">
        <f t="shared" si="492"/>
        <v>3012</v>
      </c>
      <c r="L490" s="18">
        <f t="shared" ref="L490:O490" si="535">ROUND($I490*L$2,0)</f>
        <v>1807</v>
      </c>
      <c r="M490" s="7">
        <v>1.0039</v>
      </c>
      <c r="N490" s="18">
        <f t="shared" si="535"/>
        <v>452</v>
      </c>
      <c r="O490" s="18">
        <f t="shared" si="535"/>
        <v>45180</v>
      </c>
      <c r="P490" s="18">
        <f t="shared" si="494"/>
        <v>27.105</v>
      </c>
      <c r="Q490" s="18">
        <f t="shared" si="495"/>
        <v>150</v>
      </c>
      <c r="R490" s="2" t="s">
        <v>1069</v>
      </c>
      <c r="S490" s="4" t="e">
        <f t="shared" si="496"/>
        <v>#N/A</v>
      </c>
      <c r="W490" s="4"/>
      <c r="X490" s="4"/>
      <c r="AD490" s="4" t="s">
        <v>660</v>
      </c>
      <c r="AE490" s="4">
        <v>160070008</v>
      </c>
    </row>
    <row r="491" s="2" customFormat="1" spans="1:31">
      <c r="A491" s="4">
        <v>489</v>
      </c>
      <c r="B491" s="5" t="s">
        <v>1070</v>
      </c>
      <c r="C491" s="41" t="s">
        <v>1026</v>
      </c>
      <c r="D491" s="26" t="s">
        <v>94</v>
      </c>
      <c r="E491" s="4">
        <v>26</v>
      </c>
      <c r="F491" s="5">
        <v>1</v>
      </c>
      <c r="G491" s="5">
        <v>1</v>
      </c>
      <c r="H491" s="6">
        <f t="shared" si="490"/>
        <v>1</v>
      </c>
      <c r="I491" s="4">
        <f t="shared" si="491"/>
        <v>2984</v>
      </c>
      <c r="J491" s="13">
        <f>ROUND(VLOOKUP(D491,[1]物品容器!$T$3:$U$8,2,FALSE)*M491,0)</f>
        <v>2984</v>
      </c>
      <c r="K491" s="18">
        <f t="shared" si="492"/>
        <v>2984</v>
      </c>
      <c r="L491" s="18">
        <f t="shared" ref="L491:O491" si="536">ROUND($I491*L$2,0)</f>
        <v>1790</v>
      </c>
      <c r="M491" s="7">
        <v>0.9945</v>
      </c>
      <c r="N491" s="18">
        <f t="shared" si="536"/>
        <v>448</v>
      </c>
      <c r="O491" s="18">
        <f t="shared" si="536"/>
        <v>44760</v>
      </c>
      <c r="P491" s="18">
        <f t="shared" si="494"/>
        <v>26.85</v>
      </c>
      <c r="Q491" s="18">
        <f t="shared" si="495"/>
        <v>149</v>
      </c>
      <c r="R491" s="2" t="s">
        <v>1071</v>
      </c>
      <c r="S491" s="4" t="e">
        <f t="shared" si="496"/>
        <v>#N/A</v>
      </c>
      <c r="W491" s="4"/>
      <c r="X491" s="4"/>
      <c r="AD491" s="4" t="s">
        <v>1072</v>
      </c>
      <c r="AE491" s="4">
        <v>160070009</v>
      </c>
    </row>
    <row r="492" s="2" customFormat="1" spans="1:31">
      <c r="A492" s="4">
        <v>490</v>
      </c>
      <c r="B492" s="5" t="s">
        <v>1073</v>
      </c>
      <c r="C492" s="41" t="s">
        <v>1026</v>
      </c>
      <c r="D492" s="26" t="s">
        <v>94</v>
      </c>
      <c r="E492" s="4">
        <v>27</v>
      </c>
      <c r="F492" s="5">
        <v>1</v>
      </c>
      <c r="G492" s="5">
        <v>1</v>
      </c>
      <c r="H492" s="6">
        <f t="shared" si="490"/>
        <v>1</v>
      </c>
      <c r="I492" s="4">
        <f t="shared" si="491"/>
        <v>3024</v>
      </c>
      <c r="J492" s="13">
        <f>ROUND(VLOOKUP(D492,[1]物品容器!$T$3:$U$8,2,FALSE)*M492,0)</f>
        <v>3024</v>
      </c>
      <c r="K492" s="18">
        <f t="shared" si="492"/>
        <v>3024</v>
      </c>
      <c r="L492" s="18">
        <f t="shared" ref="L492:O492" si="537">ROUND($I492*L$2,0)</f>
        <v>1814</v>
      </c>
      <c r="M492" s="7">
        <v>1.0081</v>
      </c>
      <c r="N492" s="18">
        <f t="shared" si="537"/>
        <v>454</v>
      </c>
      <c r="O492" s="18">
        <f t="shared" si="537"/>
        <v>45360</v>
      </c>
      <c r="P492" s="18">
        <f t="shared" si="494"/>
        <v>27.21</v>
      </c>
      <c r="Q492" s="18">
        <f t="shared" si="495"/>
        <v>151</v>
      </c>
      <c r="R492" s="2" t="str">
        <f>B492</f>
        <v>稀有持续回血药剂</v>
      </c>
      <c r="S492" s="4" t="e">
        <f t="shared" si="496"/>
        <v>#N/A</v>
      </c>
      <c r="W492" s="4"/>
      <c r="X492" s="4"/>
      <c r="AD492" s="4" t="s">
        <v>662</v>
      </c>
      <c r="AE492" s="4">
        <v>160070010</v>
      </c>
    </row>
    <row r="493" s="2" customFormat="1" spans="1:31">
      <c r="A493" s="4">
        <v>491</v>
      </c>
      <c r="B493" s="5" t="s">
        <v>1074</v>
      </c>
      <c r="C493" s="41" t="s">
        <v>1026</v>
      </c>
      <c r="D493" s="26" t="s">
        <v>94</v>
      </c>
      <c r="E493" s="4">
        <v>28</v>
      </c>
      <c r="F493" s="5">
        <v>1</v>
      </c>
      <c r="G493" s="5">
        <v>1</v>
      </c>
      <c r="H493" s="6">
        <f t="shared" si="490"/>
        <v>1</v>
      </c>
      <c r="I493" s="4">
        <f t="shared" si="491"/>
        <v>2977</v>
      </c>
      <c r="J493" s="13">
        <f>ROUND(VLOOKUP(D493,[1]物品容器!$T$3:$U$8,2,FALSE)*M493,0)</f>
        <v>2977</v>
      </c>
      <c r="K493" s="18">
        <f t="shared" si="492"/>
        <v>2977</v>
      </c>
      <c r="L493" s="18">
        <f t="shared" ref="L493:O493" si="538">ROUND($I493*L$2,0)</f>
        <v>1786</v>
      </c>
      <c r="M493" s="7">
        <v>0.9922</v>
      </c>
      <c r="N493" s="18">
        <f t="shared" si="538"/>
        <v>447</v>
      </c>
      <c r="O493" s="18">
        <f t="shared" si="538"/>
        <v>44655</v>
      </c>
      <c r="P493" s="18">
        <f t="shared" si="494"/>
        <v>26.79</v>
      </c>
      <c r="Q493" s="18">
        <f t="shared" si="495"/>
        <v>148</v>
      </c>
      <c r="R493" s="2" t="str">
        <f>B493</f>
        <v>稀有瞬时回血药剂</v>
      </c>
      <c r="S493" s="4" t="e">
        <f t="shared" si="496"/>
        <v>#N/A</v>
      </c>
      <c r="W493" s="4"/>
      <c r="X493" s="4"/>
      <c r="AD493" s="4" t="s">
        <v>664</v>
      </c>
      <c r="AE493" s="4">
        <v>160070011</v>
      </c>
    </row>
    <row r="494" s="2" customFormat="1" spans="1:31">
      <c r="A494" s="4">
        <v>492</v>
      </c>
      <c r="B494" s="5" t="s">
        <v>1075</v>
      </c>
      <c r="C494" s="41" t="s">
        <v>1026</v>
      </c>
      <c r="D494" s="27" t="s">
        <v>116</v>
      </c>
      <c r="E494" s="4">
        <v>29</v>
      </c>
      <c r="F494" s="5">
        <v>1</v>
      </c>
      <c r="G494" s="5">
        <v>1</v>
      </c>
      <c r="H494" s="6">
        <f t="shared" si="490"/>
        <v>1</v>
      </c>
      <c r="I494" s="4">
        <f t="shared" si="491"/>
        <v>1006</v>
      </c>
      <c r="J494" s="13">
        <f>ROUND(VLOOKUP(D494,[1]物品容器!$T$3:$U$8,2,FALSE)*M494,0)</f>
        <v>1006</v>
      </c>
      <c r="K494" s="18">
        <f t="shared" si="492"/>
        <v>1006</v>
      </c>
      <c r="L494" s="18">
        <f t="shared" ref="L494:O494" si="539">ROUND($I494*L$2,0)</f>
        <v>604</v>
      </c>
      <c r="M494" s="7">
        <v>1.0058</v>
      </c>
      <c r="N494" s="18">
        <f t="shared" si="539"/>
        <v>151</v>
      </c>
      <c r="O494" s="18">
        <f t="shared" si="539"/>
        <v>15090</v>
      </c>
      <c r="P494" s="18">
        <f t="shared" si="494"/>
        <v>9.06</v>
      </c>
      <c r="Q494" s="18">
        <f t="shared" si="495"/>
        <v>50</v>
      </c>
      <c r="R494" s="2" t="s">
        <v>1076</v>
      </c>
      <c r="S494" s="4" t="e">
        <f t="shared" si="496"/>
        <v>#N/A</v>
      </c>
      <c r="W494" s="4"/>
      <c r="X494" s="4"/>
      <c r="AD494" s="4" t="s">
        <v>644</v>
      </c>
      <c r="AE494" s="4">
        <v>160070012</v>
      </c>
    </row>
    <row r="495" s="2" customFormat="1" spans="1:31">
      <c r="A495" s="4">
        <v>493</v>
      </c>
      <c r="B495" s="5" t="s">
        <v>1077</v>
      </c>
      <c r="C495" s="41" t="s">
        <v>1026</v>
      </c>
      <c r="D495" s="27" t="s">
        <v>116</v>
      </c>
      <c r="E495" s="4">
        <v>30</v>
      </c>
      <c r="F495" s="5">
        <v>1</v>
      </c>
      <c r="G495" s="5">
        <v>1</v>
      </c>
      <c r="H495" s="6">
        <f t="shared" si="490"/>
        <v>1</v>
      </c>
      <c r="I495" s="4">
        <f t="shared" si="491"/>
        <v>1004</v>
      </c>
      <c r="J495" s="13">
        <f>ROUND(VLOOKUP(D495,[1]物品容器!$T$3:$U$8,2,FALSE)*M495,0)</f>
        <v>1004</v>
      </c>
      <c r="K495" s="18">
        <f t="shared" si="492"/>
        <v>1004</v>
      </c>
      <c r="L495" s="18">
        <f t="shared" ref="L495:O495" si="540">ROUND($I495*L$2,0)</f>
        <v>602</v>
      </c>
      <c r="M495" s="7">
        <v>1.0039</v>
      </c>
      <c r="N495" s="18">
        <f t="shared" si="540"/>
        <v>151</v>
      </c>
      <c r="O495" s="18">
        <f t="shared" si="540"/>
        <v>15060</v>
      </c>
      <c r="P495" s="18">
        <f t="shared" si="494"/>
        <v>9.03</v>
      </c>
      <c r="Q495" s="18">
        <f t="shared" si="495"/>
        <v>50</v>
      </c>
      <c r="R495" s="2" t="s">
        <v>1078</v>
      </c>
      <c r="S495" s="4" t="e">
        <f t="shared" si="496"/>
        <v>#N/A</v>
      </c>
      <c r="W495" s="4"/>
      <c r="X495" s="4"/>
      <c r="AD495" s="4" t="s">
        <v>646</v>
      </c>
      <c r="AE495" s="4">
        <v>160070013</v>
      </c>
    </row>
    <row r="496" s="2" customFormat="1" spans="1:31">
      <c r="A496" s="4">
        <v>494</v>
      </c>
      <c r="B496" s="5" t="s">
        <v>1079</v>
      </c>
      <c r="C496" s="41" t="s">
        <v>1026</v>
      </c>
      <c r="D496" s="27" t="s">
        <v>116</v>
      </c>
      <c r="E496" s="4">
        <v>31</v>
      </c>
      <c r="F496" s="5">
        <v>1</v>
      </c>
      <c r="G496" s="5">
        <v>1</v>
      </c>
      <c r="H496" s="6">
        <f t="shared" si="490"/>
        <v>1</v>
      </c>
      <c r="I496" s="4">
        <f t="shared" si="491"/>
        <v>996</v>
      </c>
      <c r="J496" s="13">
        <f>ROUND(VLOOKUP(D496,[1]物品容器!$T$3:$U$8,2,FALSE)*M496,0)</f>
        <v>996</v>
      </c>
      <c r="K496" s="18">
        <f t="shared" si="492"/>
        <v>996</v>
      </c>
      <c r="L496" s="18">
        <f t="shared" ref="L496:O496" si="541">ROUND($I496*L$2,0)</f>
        <v>598</v>
      </c>
      <c r="M496" s="7">
        <v>0.9959</v>
      </c>
      <c r="N496" s="18">
        <f t="shared" si="541"/>
        <v>149</v>
      </c>
      <c r="O496" s="18">
        <f t="shared" si="541"/>
        <v>14940</v>
      </c>
      <c r="P496" s="18">
        <f t="shared" si="494"/>
        <v>8.97</v>
      </c>
      <c r="Q496" s="18">
        <f t="shared" si="495"/>
        <v>50</v>
      </c>
      <c r="R496" s="2" t="s">
        <v>1080</v>
      </c>
      <c r="S496" s="4" t="e">
        <f t="shared" si="496"/>
        <v>#N/A</v>
      </c>
      <c r="W496" s="4"/>
      <c r="X496" s="4"/>
      <c r="AD496" s="4" t="s">
        <v>648</v>
      </c>
      <c r="AE496" s="4">
        <v>160070014</v>
      </c>
    </row>
    <row r="497" s="2" customFormat="1" spans="1:31">
      <c r="A497" s="4">
        <v>495</v>
      </c>
      <c r="B497" s="5" t="s">
        <v>1081</v>
      </c>
      <c r="C497" s="41" t="s">
        <v>1026</v>
      </c>
      <c r="D497" s="27" t="s">
        <v>116</v>
      </c>
      <c r="E497" s="4">
        <v>32</v>
      </c>
      <c r="F497" s="5">
        <v>1</v>
      </c>
      <c r="G497" s="5">
        <v>1</v>
      </c>
      <c r="H497" s="6">
        <f t="shared" si="490"/>
        <v>1</v>
      </c>
      <c r="I497" s="4">
        <f t="shared" si="491"/>
        <v>993</v>
      </c>
      <c r="J497" s="13">
        <f>ROUND(VLOOKUP(D497,[1]物品容器!$T$3:$U$8,2,FALSE)*M497,0)</f>
        <v>993</v>
      </c>
      <c r="K497" s="18">
        <f t="shared" si="492"/>
        <v>993</v>
      </c>
      <c r="L497" s="18">
        <f t="shared" ref="L497:O497" si="542">ROUND($I497*L$2,0)</f>
        <v>596</v>
      </c>
      <c r="M497" s="7">
        <v>0.9933</v>
      </c>
      <c r="N497" s="18">
        <f t="shared" si="542"/>
        <v>149</v>
      </c>
      <c r="O497" s="18">
        <f t="shared" si="542"/>
        <v>14895</v>
      </c>
      <c r="P497" s="18">
        <f t="shared" si="494"/>
        <v>8.94</v>
      </c>
      <c r="Q497" s="18">
        <f t="shared" si="495"/>
        <v>49</v>
      </c>
      <c r="R497" s="2" t="s">
        <v>1082</v>
      </c>
      <c r="S497" s="4" t="e">
        <f t="shared" si="496"/>
        <v>#N/A</v>
      </c>
      <c r="W497" s="4"/>
      <c r="X497" s="4"/>
      <c r="AD497" s="4" t="s">
        <v>650</v>
      </c>
      <c r="AE497" s="4">
        <v>160070015</v>
      </c>
    </row>
    <row r="498" s="2" customFormat="1" spans="1:31">
      <c r="A498" s="4">
        <v>496</v>
      </c>
      <c r="B498" s="5" t="s">
        <v>1083</v>
      </c>
      <c r="C498" s="41" t="s">
        <v>1026</v>
      </c>
      <c r="D498" s="27" t="s">
        <v>116</v>
      </c>
      <c r="E498" s="4">
        <v>33</v>
      </c>
      <c r="F498" s="5">
        <v>1</v>
      </c>
      <c r="G498" s="5">
        <v>1</v>
      </c>
      <c r="H498" s="6">
        <f t="shared" si="490"/>
        <v>1</v>
      </c>
      <c r="I498" s="4">
        <f t="shared" si="491"/>
        <v>997</v>
      </c>
      <c r="J498" s="13">
        <f>ROUND(VLOOKUP(D498,[1]物品容器!$T$3:$U$8,2,FALSE)*M498,0)</f>
        <v>997</v>
      </c>
      <c r="K498" s="18">
        <f t="shared" si="492"/>
        <v>997</v>
      </c>
      <c r="L498" s="18">
        <f t="shared" ref="L498:O498" si="543">ROUND($I498*L$2,0)</f>
        <v>598</v>
      </c>
      <c r="M498" s="7">
        <v>0.9965</v>
      </c>
      <c r="N498" s="18">
        <f t="shared" si="543"/>
        <v>150</v>
      </c>
      <c r="O498" s="18">
        <f t="shared" si="543"/>
        <v>14955</v>
      </c>
      <c r="P498" s="18">
        <f t="shared" si="494"/>
        <v>8.97</v>
      </c>
      <c r="Q498" s="18">
        <f t="shared" si="495"/>
        <v>50</v>
      </c>
      <c r="R498" s="2" t="s">
        <v>1084</v>
      </c>
      <c r="S498" s="4" t="e">
        <f t="shared" si="496"/>
        <v>#N/A</v>
      </c>
      <c r="W498" s="4"/>
      <c r="X498" s="4"/>
      <c r="AD498" s="4" t="s">
        <v>652</v>
      </c>
      <c r="AE498" s="4">
        <v>160070016</v>
      </c>
    </row>
    <row r="499" s="2" customFormat="1" spans="1:31">
      <c r="A499" s="4">
        <v>497</v>
      </c>
      <c r="B499" s="5" t="s">
        <v>1085</v>
      </c>
      <c r="C499" s="41" t="s">
        <v>1026</v>
      </c>
      <c r="D499" s="27" t="s">
        <v>116</v>
      </c>
      <c r="E499" s="4">
        <v>34</v>
      </c>
      <c r="F499" s="5">
        <v>1</v>
      </c>
      <c r="G499" s="5">
        <v>1</v>
      </c>
      <c r="H499" s="6">
        <f t="shared" si="490"/>
        <v>1</v>
      </c>
      <c r="I499" s="4">
        <f t="shared" si="491"/>
        <v>1008</v>
      </c>
      <c r="J499" s="13">
        <f>ROUND(VLOOKUP(D499,[1]物品容器!$T$3:$U$8,2,FALSE)*M499,0)</f>
        <v>1008</v>
      </c>
      <c r="K499" s="18">
        <f t="shared" si="492"/>
        <v>1008</v>
      </c>
      <c r="L499" s="18">
        <f t="shared" ref="L499:O499" si="544">ROUND($I499*L$2,0)</f>
        <v>605</v>
      </c>
      <c r="M499" s="7">
        <v>1.0077</v>
      </c>
      <c r="N499" s="18">
        <f t="shared" si="544"/>
        <v>151</v>
      </c>
      <c r="O499" s="18">
        <f t="shared" si="544"/>
        <v>15120</v>
      </c>
      <c r="P499" s="18">
        <f t="shared" si="494"/>
        <v>9.075</v>
      </c>
      <c r="Q499" s="18">
        <f t="shared" si="495"/>
        <v>50</v>
      </c>
      <c r="R499" s="2" t="str">
        <f>B499</f>
        <v>普通持续回血药剂</v>
      </c>
      <c r="S499" s="4" t="e">
        <f t="shared" si="496"/>
        <v>#N/A</v>
      </c>
      <c r="W499" s="4"/>
      <c r="X499" s="4"/>
      <c r="AD499" s="4" t="s">
        <v>654</v>
      </c>
      <c r="AE499" s="4">
        <v>160070017</v>
      </c>
    </row>
    <row r="500" s="2" customFormat="1" spans="1:31">
      <c r="A500" s="4">
        <v>498</v>
      </c>
      <c r="B500" s="5" t="s">
        <v>1086</v>
      </c>
      <c r="C500" s="41" t="s">
        <v>1026</v>
      </c>
      <c r="D500" s="27" t="s">
        <v>116</v>
      </c>
      <c r="E500" s="4">
        <v>35</v>
      </c>
      <c r="F500" s="5">
        <v>1</v>
      </c>
      <c r="G500" s="5">
        <v>1</v>
      </c>
      <c r="H500" s="6">
        <f t="shared" si="490"/>
        <v>1</v>
      </c>
      <c r="I500" s="4">
        <f t="shared" si="491"/>
        <v>998</v>
      </c>
      <c r="J500" s="13">
        <f>ROUND(VLOOKUP(D500,[1]物品容器!$T$3:$U$8,2,FALSE)*M500,0)</f>
        <v>998</v>
      </c>
      <c r="K500" s="18">
        <f t="shared" si="492"/>
        <v>998</v>
      </c>
      <c r="L500" s="18">
        <f t="shared" ref="L500:O500" si="545">ROUND($I500*L$2,0)</f>
        <v>599</v>
      </c>
      <c r="M500" s="7">
        <v>0.9978</v>
      </c>
      <c r="N500" s="18">
        <f t="shared" si="545"/>
        <v>150</v>
      </c>
      <c r="O500" s="18">
        <f t="shared" si="545"/>
        <v>14970</v>
      </c>
      <c r="P500" s="18">
        <f t="shared" si="494"/>
        <v>8.985</v>
      </c>
      <c r="Q500" s="18">
        <f t="shared" si="495"/>
        <v>50</v>
      </c>
      <c r="R500" s="2" t="str">
        <f>B500</f>
        <v>普通瞬时回血药剂</v>
      </c>
      <c r="S500" s="4" t="e">
        <f t="shared" si="496"/>
        <v>#N/A</v>
      </c>
      <c r="W500" s="4"/>
      <c r="X500" s="4"/>
      <c r="AD500" s="4" t="s">
        <v>656</v>
      </c>
      <c r="AE500" s="4">
        <v>160070018</v>
      </c>
    </row>
    <row r="501" s="2" customFormat="1" spans="1:31">
      <c r="A501" s="4">
        <v>499</v>
      </c>
      <c r="B501" s="5" t="s">
        <v>1087</v>
      </c>
      <c r="C501" s="4" t="s">
        <v>1088</v>
      </c>
      <c r="D501" s="22" t="s">
        <v>41</v>
      </c>
      <c r="E501" s="4">
        <v>1</v>
      </c>
      <c r="F501" s="5">
        <v>2</v>
      </c>
      <c r="G501" s="5">
        <v>2</v>
      </c>
      <c r="H501" s="6">
        <f t="shared" si="490"/>
        <v>0.91</v>
      </c>
      <c r="I501" s="4">
        <f t="shared" si="491"/>
        <v>367021</v>
      </c>
      <c r="J501" s="13">
        <f>ROUND(VLOOKUP(D501,[1]物品容器!$T$3:$U$8,2,FALSE)*M501,0)</f>
        <v>100830</v>
      </c>
      <c r="K501" s="18">
        <f t="shared" si="492"/>
        <v>91755</v>
      </c>
      <c r="L501" s="18">
        <f t="shared" ref="L501:O501" si="546">ROUND($I501*L$2,0)</f>
        <v>220213</v>
      </c>
      <c r="M501" s="7">
        <v>1.0083</v>
      </c>
      <c r="N501" s="18">
        <f t="shared" si="546"/>
        <v>55053</v>
      </c>
      <c r="O501" s="18">
        <f t="shared" si="546"/>
        <v>5505315</v>
      </c>
      <c r="P501" s="18">
        <f t="shared" si="494"/>
        <v>3303.195</v>
      </c>
      <c r="Q501" s="18">
        <f t="shared" si="495"/>
        <v>18288</v>
      </c>
      <c r="R501" s="42" t="s">
        <v>1087</v>
      </c>
      <c r="S501" s="4" t="e">
        <f t="shared" si="496"/>
        <v>#N/A</v>
      </c>
      <c r="W501" s="4"/>
      <c r="X501" s="4"/>
      <c r="AD501" s="4" t="s">
        <v>658</v>
      </c>
      <c r="AE501" s="4">
        <v>160070019</v>
      </c>
    </row>
    <row r="502" s="2" customFormat="1" spans="1:31">
      <c r="A502" s="4">
        <v>500</v>
      </c>
      <c r="B502" s="5" t="s">
        <v>1089</v>
      </c>
      <c r="C502" s="4" t="s">
        <v>1088</v>
      </c>
      <c r="D502" s="22" t="s">
        <v>41</v>
      </c>
      <c r="E502" s="4">
        <v>2</v>
      </c>
      <c r="F502" s="5">
        <v>2</v>
      </c>
      <c r="G502" s="5">
        <v>2</v>
      </c>
      <c r="H502" s="6">
        <f t="shared" si="490"/>
        <v>0.91</v>
      </c>
      <c r="I502" s="4">
        <f t="shared" si="491"/>
        <v>365893</v>
      </c>
      <c r="J502" s="13">
        <f>ROUND(VLOOKUP(D502,[1]物品容器!$T$3:$U$8,2,FALSE)*M502,0)</f>
        <v>100520</v>
      </c>
      <c r="K502" s="18">
        <f t="shared" si="492"/>
        <v>91473</v>
      </c>
      <c r="L502" s="18">
        <f t="shared" ref="L502:O502" si="547">ROUND($I502*L$2,0)</f>
        <v>219536</v>
      </c>
      <c r="M502" s="7">
        <v>1.0052</v>
      </c>
      <c r="N502" s="18">
        <f t="shared" si="547"/>
        <v>54884</v>
      </c>
      <c r="O502" s="18">
        <f t="shared" si="547"/>
        <v>5488395</v>
      </c>
      <c r="P502" s="18">
        <f t="shared" si="494"/>
        <v>3293.04</v>
      </c>
      <c r="Q502" s="18">
        <f t="shared" si="495"/>
        <v>18232</v>
      </c>
      <c r="R502" s="42" t="s">
        <v>1089</v>
      </c>
      <c r="S502" s="4" t="e">
        <f t="shared" si="496"/>
        <v>#N/A</v>
      </c>
      <c r="W502" s="4"/>
      <c r="X502" s="4"/>
      <c r="AD502" s="4" t="s">
        <v>620</v>
      </c>
      <c r="AE502" s="4">
        <v>160070020</v>
      </c>
    </row>
    <row r="503" s="2" customFormat="1" spans="1:31">
      <c r="A503" s="4">
        <v>501</v>
      </c>
      <c r="B503" s="5" t="s">
        <v>1090</v>
      </c>
      <c r="C503" s="4" t="s">
        <v>1088</v>
      </c>
      <c r="D503" s="24" t="s">
        <v>63</v>
      </c>
      <c r="E503" s="4">
        <v>3</v>
      </c>
      <c r="F503" s="5">
        <v>1</v>
      </c>
      <c r="G503" s="5">
        <v>3</v>
      </c>
      <c r="H503" s="6">
        <f t="shared" si="490"/>
        <v>0.94</v>
      </c>
      <c r="I503" s="4">
        <f t="shared" si="491"/>
        <v>84930</v>
      </c>
      <c r="J503" s="13">
        <f>ROUND(VLOOKUP(D503,[1]物品容器!$T$3:$U$8,2,FALSE)*M503,0)</f>
        <v>30117</v>
      </c>
      <c r="K503" s="18">
        <f t="shared" si="492"/>
        <v>28310</v>
      </c>
      <c r="L503" s="18">
        <f t="shared" ref="L503:O503" si="548">ROUND($I503*L$2,0)</f>
        <v>50958</v>
      </c>
      <c r="M503" s="7">
        <v>1.0039</v>
      </c>
      <c r="N503" s="18">
        <f t="shared" si="548"/>
        <v>12740</v>
      </c>
      <c r="O503" s="18">
        <f t="shared" si="548"/>
        <v>1273950</v>
      </c>
      <c r="P503" s="18">
        <f t="shared" si="494"/>
        <v>764.37</v>
      </c>
      <c r="Q503" s="18">
        <f t="shared" si="495"/>
        <v>4232</v>
      </c>
      <c r="R503" s="42" t="s">
        <v>1090</v>
      </c>
      <c r="S503" s="4" t="e">
        <f t="shared" si="496"/>
        <v>#N/A</v>
      </c>
      <c r="W503" s="4"/>
      <c r="X503" s="4"/>
      <c r="AD503" s="4" t="s">
        <v>622</v>
      </c>
      <c r="AE503" s="4">
        <v>160070021</v>
      </c>
    </row>
    <row r="504" s="2" customFormat="1" spans="1:31">
      <c r="A504" s="4">
        <v>502</v>
      </c>
      <c r="B504" s="5" t="s">
        <v>1091</v>
      </c>
      <c r="C504" s="4" t="s">
        <v>1088</v>
      </c>
      <c r="D504" s="24" t="s">
        <v>63</v>
      </c>
      <c r="E504" s="4">
        <v>4</v>
      </c>
      <c r="F504" s="5">
        <v>2</v>
      </c>
      <c r="G504" s="5">
        <v>2</v>
      </c>
      <c r="H504" s="6">
        <f t="shared" si="490"/>
        <v>0.91</v>
      </c>
      <c r="I504" s="4">
        <f t="shared" si="491"/>
        <v>110019</v>
      </c>
      <c r="J504" s="13">
        <f>ROUND(VLOOKUP(D504,[1]物品容器!$T$3:$U$8,2,FALSE)*M504,0)</f>
        <v>30225</v>
      </c>
      <c r="K504" s="18">
        <f t="shared" si="492"/>
        <v>27505</v>
      </c>
      <c r="L504" s="18">
        <f t="shared" ref="L504:O504" si="549">ROUND($I504*L$2,0)</f>
        <v>66011</v>
      </c>
      <c r="M504" s="7">
        <v>1.0075</v>
      </c>
      <c r="N504" s="18">
        <f t="shared" si="549"/>
        <v>16503</v>
      </c>
      <c r="O504" s="18">
        <f t="shared" si="549"/>
        <v>1650285</v>
      </c>
      <c r="P504" s="18">
        <f t="shared" si="494"/>
        <v>990.165</v>
      </c>
      <c r="Q504" s="18">
        <f t="shared" si="495"/>
        <v>5482</v>
      </c>
      <c r="R504" s="42" t="s">
        <v>1091</v>
      </c>
      <c r="S504" s="4" t="e">
        <f t="shared" si="496"/>
        <v>#N/A</v>
      </c>
      <c r="W504" s="4"/>
      <c r="X504" s="4"/>
      <c r="AD504" s="4" t="s">
        <v>624</v>
      </c>
      <c r="AE504" s="4">
        <v>160070022</v>
      </c>
    </row>
    <row r="505" s="2" customFormat="1" spans="1:31">
      <c r="A505" s="4">
        <v>503</v>
      </c>
      <c r="B505" s="5" t="s">
        <v>1092</v>
      </c>
      <c r="C505" s="4" t="s">
        <v>1088</v>
      </c>
      <c r="D505" s="25" t="s">
        <v>76</v>
      </c>
      <c r="E505" s="4">
        <v>5</v>
      </c>
      <c r="F505" s="5">
        <v>1</v>
      </c>
      <c r="G505" s="5">
        <v>3</v>
      </c>
      <c r="H505" s="6">
        <f t="shared" si="490"/>
        <v>0.94</v>
      </c>
      <c r="I505" s="4">
        <f t="shared" si="491"/>
        <v>27972</v>
      </c>
      <c r="J505" s="13">
        <f>ROUND(VLOOKUP(D505,[1]物品容器!$T$3:$U$8,2,FALSE)*M505,0)</f>
        <v>9919</v>
      </c>
      <c r="K505" s="18">
        <f t="shared" si="492"/>
        <v>9324</v>
      </c>
      <c r="L505" s="18">
        <f t="shared" ref="L505:O505" si="550">ROUND($I505*L$2,0)</f>
        <v>16783</v>
      </c>
      <c r="M505" s="7">
        <v>0.9919</v>
      </c>
      <c r="N505" s="18">
        <f t="shared" si="550"/>
        <v>4196</v>
      </c>
      <c r="O505" s="18">
        <f t="shared" si="550"/>
        <v>419580</v>
      </c>
      <c r="P505" s="18">
        <f t="shared" si="494"/>
        <v>251.745</v>
      </c>
      <c r="Q505" s="18">
        <f t="shared" si="495"/>
        <v>1394</v>
      </c>
      <c r="R505" s="42" t="s">
        <v>1092</v>
      </c>
      <c r="S505" s="4" t="e">
        <f t="shared" si="496"/>
        <v>#N/A</v>
      </c>
      <c r="W505" s="4"/>
      <c r="X505" s="4"/>
      <c r="AD505" s="4" t="s">
        <v>626</v>
      </c>
      <c r="AE505" s="4">
        <v>160070023</v>
      </c>
    </row>
    <row r="506" s="2" customFormat="1" spans="1:31">
      <c r="A506" s="4">
        <v>504</v>
      </c>
      <c r="B506" s="5" t="s">
        <v>1093</v>
      </c>
      <c r="C506" s="4" t="s">
        <v>1088</v>
      </c>
      <c r="D506" s="25" t="s">
        <v>76</v>
      </c>
      <c r="E506" s="4">
        <v>6</v>
      </c>
      <c r="F506" s="5">
        <v>2</v>
      </c>
      <c r="G506" s="5">
        <v>2</v>
      </c>
      <c r="H506" s="6">
        <f t="shared" si="490"/>
        <v>0.91</v>
      </c>
      <c r="I506" s="4">
        <f t="shared" si="491"/>
        <v>36378</v>
      </c>
      <c r="J506" s="13">
        <f>ROUND(VLOOKUP(D506,[1]物品容器!$T$3:$U$8,2,FALSE)*M506,0)</f>
        <v>9994</v>
      </c>
      <c r="K506" s="18">
        <f t="shared" si="492"/>
        <v>9095</v>
      </c>
      <c r="L506" s="18">
        <f t="shared" ref="L506:O506" si="551">ROUND($I506*L$2,0)</f>
        <v>21827</v>
      </c>
      <c r="M506" s="7">
        <v>0.9994</v>
      </c>
      <c r="N506" s="18">
        <f t="shared" si="551"/>
        <v>5457</v>
      </c>
      <c r="O506" s="18">
        <f t="shared" si="551"/>
        <v>545670</v>
      </c>
      <c r="P506" s="18">
        <f t="shared" si="494"/>
        <v>327.405</v>
      </c>
      <c r="Q506" s="18">
        <f t="shared" si="495"/>
        <v>1813</v>
      </c>
      <c r="R506" s="42" t="s">
        <v>1093</v>
      </c>
      <c r="S506" s="4" t="e">
        <f t="shared" si="496"/>
        <v>#N/A</v>
      </c>
      <c r="W506" s="4"/>
      <c r="X506" s="4"/>
      <c r="AD506" s="4" t="s">
        <v>628</v>
      </c>
      <c r="AE506" s="4">
        <v>160070024</v>
      </c>
    </row>
    <row r="507" s="2" customFormat="1" spans="1:31">
      <c r="A507" s="4">
        <v>505</v>
      </c>
      <c r="B507" s="5" t="s">
        <v>121</v>
      </c>
      <c r="C507" s="4" t="s">
        <v>1094</v>
      </c>
      <c r="D507" s="27" t="s">
        <v>116</v>
      </c>
      <c r="E507" s="4">
        <v>1</v>
      </c>
      <c r="F507" s="5">
        <v>2</v>
      </c>
      <c r="G507" s="5">
        <v>2</v>
      </c>
      <c r="H507" s="6">
        <f t="shared" si="490"/>
        <v>0.91</v>
      </c>
      <c r="I507" s="4">
        <f t="shared" si="491"/>
        <v>3633</v>
      </c>
      <c r="J507" s="13">
        <f>ROUND(VLOOKUP(D507,[1]物品容器!$T$3:$U$8,2,FALSE)*M507,0)</f>
        <v>998</v>
      </c>
      <c r="K507" s="18">
        <f t="shared" si="492"/>
        <v>908</v>
      </c>
      <c r="L507" s="18">
        <f t="shared" ref="L507:O507" si="552">ROUND($I507*L$2,0)</f>
        <v>2180</v>
      </c>
      <c r="M507" s="7">
        <v>0.9984</v>
      </c>
      <c r="N507" s="18">
        <f t="shared" si="552"/>
        <v>545</v>
      </c>
      <c r="O507" s="18">
        <f t="shared" si="552"/>
        <v>54495</v>
      </c>
      <c r="P507" s="18">
        <f t="shared" si="494"/>
        <v>32.7</v>
      </c>
      <c r="Q507" s="18">
        <f t="shared" si="495"/>
        <v>181</v>
      </c>
      <c r="R507" s="42" t="s">
        <v>121</v>
      </c>
      <c r="S507" s="4">
        <f t="shared" si="496"/>
        <v>121000000</v>
      </c>
      <c r="W507" s="4"/>
      <c r="X507" s="4"/>
      <c r="AD507" s="4" t="s">
        <v>630</v>
      </c>
      <c r="AE507" s="4">
        <v>160070025</v>
      </c>
    </row>
    <row r="508" s="2" customFormat="1" spans="1:31">
      <c r="A508" s="4">
        <v>506</v>
      </c>
      <c r="B508" s="5" t="s">
        <v>1095</v>
      </c>
      <c r="C508" s="4" t="s">
        <v>1094</v>
      </c>
      <c r="D508" s="27" t="s">
        <v>116</v>
      </c>
      <c r="E508" s="4">
        <v>2</v>
      </c>
      <c r="F508" s="5">
        <v>2</v>
      </c>
      <c r="G508" s="5">
        <v>2</v>
      </c>
      <c r="H508" s="6">
        <f t="shared" si="490"/>
        <v>0.91</v>
      </c>
      <c r="I508" s="4">
        <f t="shared" si="491"/>
        <v>3673</v>
      </c>
      <c r="J508" s="13">
        <f>ROUND(VLOOKUP(D508,[1]物品容器!$T$3:$U$8,2,FALSE)*M508,0)</f>
        <v>1009</v>
      </c>
      <c r="K508" s="18">
        <f t="shared" si="492"/>
        <v>918</v>
      </c>
      <c r="L508" s="18">
        <f t="shared" ref="L508:O508" si="553">ROUND($I508*L$2,0)</f>
        <v>2204</v>
      </c>
      <c r="M508" s="7">
        <v>1.0085</v>
      </c>
      <c r="N508" s="18">
        <f t="shared" si="553"/>
        <v>551</v>
      </c>
      <c r="O508" s="18">
        <f t="shared" si="553"/>
        <v>55095</v>
      </c>
      <c r="P508" s="18">
        <f t="shared" si="494"/>
        <v>33.06</v>
      </c>
      <c r="Q508" s="18">
        <f t="shared" si="495"/>
        <v>183</v>
      </c>
      <c r="R508" s="42" t="s">
        <v>1095</v>
      </c>
      <c r="S508" s="4" t="e">
        <f t="shared" si="496"/>
        <v>#N/A</v>
      </c>
      <c r="W508" s="4"/>
      <c r="X508" s="4"/>
      <c r="AD508" s="4" t="s">
        <v>632</v>
      </c>
      <c r="AE508" s="4">
        <v>160070026</v>
      </c>
    </row>
    <row r="509" s="2" customFormat="1" spans="1:31">
      <c r="A509" s="4">
        <v>507</v>
      </c>
      <c r="B509" s="5" t="s">
        <v>1096</v>
      </c>
      <c r="C509" s="4" t="s">
        <v>1094</v>
      </c>
      <c r="D509" s="27" t="s">
        <v>116</v>
      </c>
      <c r="E509" s="4">
        <v>3</v>
      </c>
      <c r="F509" s="5">
        <v>2</v>
      </c>
      <c r="G509" s="5">
        <v>2</v>
      </c>
      <c r="H509" s="6">
        <f t="shared" si="490"/>
        <v>0.91</v>
      </c>
      <c r="I509" s="4">
        <f t="shared" si="491"/>
        <v>3651</v>
      </c>
      <c r="J509" s="13">
        <f>ROUND(VLOOKUP(D509,[1]物品容器!$T$3:$U$8,2,FALSE)*M509,0)</f>
        <v>1003</v>
      </c>
      <c r="K509" s="18">
        <f t="shared" si="492"/>
        <v>913</v>
      </c>
      <c r="L509" s="18">
        <f t="shared" ref="L509:O509" si="554">ROUND($I509*L$2,0)</f>
        <v>2191</v>
      </c>
      <c r="M509" s="7">
        <v>1.0029</v>
      </c>
      <c r="N509" s="18">
        <f t="shared" si="554"/>
        <v>548</v>
      </c>
      <c r="O509" s="18">
        <f t="shared" si="554"/>
        <v>54765</v>
      </c>
      <c r="P509" s="18">
        <f t="shared" si="494"/>
        <v>32.865</v>
      </c>
      <c r="Q509" s="18">
        <f t="shared" si="495"/>
        <v>182</v>
      </c>
      <c r="R509" s="42" t="s">
        <v>1096</v>
      </c>
      <c r="S509" s="4" t="e">
        <f t="shared" si="496"/>
        <v>#N/A</v>
      </c>
      <c r="W509" s="4"/>
      <c r="X509" s="4"/>
      <c r="AD509" s="4" t="s">
        <v>634</v>
      </c>
      <c r="AE509" s="4">
        <v>160070027</v>
      </c>
    </row>
    <row r="510" s="2" customFormat="1" spans="1:31">
      <c r="A510" s="4">
        <v>508</v>
      </c>
      <c r="B510" s="5" t="s">
        <v>1097</v>
      </c>
      <c r="C510" s="4" t="s">
        <v>1094</v>
      </c>
      <c r="D510" s="26" t="s">
        <v>94</v>
      </c>
      <c r="E510" s="4">
        <v>4</v>
      </c>
      <c r="F510" s="5">
        <v>2</v>
      </c>
      <c r="G510" s="5">
        <v>2</v>
      </c>
      <c r="H510" s="6">
        <f t="shared" si="490"/>
        <v>0.91</v>
      </c>
      <c r="I510" s="4">
        <f t="shared" si="491"/>
        <v>10844</v>
      </c>
      <c r="J510" s="13">
        <f>ROUND(VLOOKUP(D510,[1]物品容器!$T$3:$U$8,2,FALSE)*M510,0)</f>
        <v>2979</v>
      </c>
      <c r="K510" s="18">
        <f t="shared" si="492"/>
        <v>2711</v>
      </c>
      <c r="L510" s="18">
        <f t="shared" ref="L510:O510" si="555">ROUND($I510*L$2,0)</f>
        <v>6506</v>
      </c>
      <c r="M510" s="7">
        <v>0.9929</v>
      </c>
      <c r="N510" s="18">
        <f t="shared" si="555"/>
        <v>1627</v>
      </c>
      <c r="O510" s="18">
        <f t="shared" si="555"/>
        <v>162660</v>
      </c>
      <c r="P510" s="18">
        <f t="shared" si="494"/>
        <v>97.59</v>
      </c>
      <c r="Q510" s="18">
        <f t="shared" si="495"/>
        <v>540</v>
      </c>
      <c r="R510" s="42" t="s">
        <v>1097</v>
      </c>
      <c r="S510" s="4" t="e">
        <f t="shared" si="496"/>
        <v>#N/A</v>
      </c>
      <c r="W510" s="4"/>
      <c r="X510" s="4"/>
      <c r="AD510" s="4" t="s">
        <v>636</v>
      </c>
      <c r="AE510" s="4">
        <v>160070028</v>
      </c>
    </row>
    <row r="511" s="2" customFormat="1" spans="1:31">
      <c r="A511" s="4">
        <v>509</v>
      </c>
      <c r="B511" s="5" t="s">
        <v>1098</v>
      </c>
      <c r="C511" s="4" t="s">
        <v>1094</v>
      </c>
      <c r="D511" s="26" t="s">
        <v>94</v>
      </c>
      <c r="E511" s="4">
        <v>5</v>
      </c>
      <c r="F511" s="5">
        <v>2</v>
      </c>
      <c r="G511" s="5">
        <v>2</v>
      </c>
      <c r="H511" s="6">
        <f t="shared" si="490"/>
        <v>0.91</v>
      </c>
      <c r="I511" s="4">
        <f t="shared" si="491"/>
        <v>10971</v>
      </c>
      <c r="J511" s="13">
        <f>ROUND(VLOOKUP(D511,[1]物品容器!$T$3:$U$8,2,FALSE)*M511,0)</f>
        <v>3014</v>
      </c>
      <c r="K511" s="18">
        <f t="shared" si="492"/>
        <v>2743</v>
      </c>
      <c r="L511" s="18">
        <f t="shared" ref="L511:O511" si="556">ROUND($I511*L$2,0)</f>
        <v>6583</v>
      </c>
      <c r="M511" s="7">
        <v>1.0046</v>
      </c>
      <c r="N511" s="18">
        <f t="shared" si="556"/>
        <v>1646</v>
      </c>
      <c r="O511" s="18">
        <f t="shared" si="556"/>
        <v>164565</v>
      </c>
      <c r="P511" s="18">
        <f t="shared" si="494"/>
        <v>98.745</v>
      </c>
      <c r="Q511" s="18">
        <f t="shared" si="495"/>
        <v>547</v>
      </c>
      <c r="R511" s="42" t="s">
        <v>1098</v>
      </c>
      <c r="S511" s="4" t="e">
        <f t="shared" si="496"/>
        <v>#N/A</v>
      </c>
      <c r="W511" s="4"/>
      <c r="X511" s="4"/>
      <c r="AD511" s="4" t="s">
        <v>638</v>
      </c>
      <c r="AE511" s="4">
        <v>160070029</v>
      </c>
    </row>
    <row r="512" s="2" customFormat="1" spans="1:31">
      <c r="A512" s="4">
        <v>510</v>
      </c>
      <c r="B512" s="5" t="s">
        <v>1099</v>
      </c>
      <c r="C512" s="4" t="s">
        <v>1094</v>
      </c>
      <c r="D512" s="25" t="s">
        <v>76</v>
      </c>
      <c r="E512" s="4">
        <v>6</v>
      </c>
      <c r="F512" s="5">
        <v>2</v>
      </c>
      <c r="G512" s="5">
        <v>2</v>
      </c>
      <c r="H512" s="6">
        <f t="shared" si="490"/>
        <v>0.91</v>
      </c>
      <c r="I512" s="4">
        <f t="shared" si="491"/>
        <v>18273</v>
      </c>
      <c r="J512" s="22">
        <f>ROUND(VLOOKUP(D512,[1]物品容器!$T$3:$U$8,2,FALSE)*M512,0)*0.5</f>
        <v>5020</v>
      </c>
      <c r="K512" s="18">
        <f t="shared" si="492"/>
        <v>4568</v>
      </c>
      <c r="L512" s="18">
        <f t="shared" ref="L512:O512" si="557">ROUND($I512*L$2,0)</f>
        <v>10964</v>
      </c>
      <c r="M512" s="7">
        <v>1.004</v>
      </c>
      <c r="N512" s="18">
        <f t="shared" si="557"/>
        <v>2741</v>
      </c>
      <c r="O512" s="18">
        <f t="shared" si="557"/>
        <v>274095</v>
      </c>
      <c r="P512" s="18">
        <f t="shared" si="494"/>
        <v>164.46</v>
      </c>
      <c r="Q512" s="18">
        <f t="shared" si="495"/>
        <v>911</v>
      </c>
      <c r="R512" s="42" t="s">
        <v>1099</v>
      </c>
      <c r="S512" s="4" t="e">
        <f t="shared" si="496"/>
        <v>#N/A</v>
      </c>
      <c r="W512" s="4"/>
      <c r="X512" s="4"/>
      <c r="AD512" s="4" t="s">
        <v>640</v>
      </c>
      <c r="AE512" s="4">
        <v>160070030</v>
      </c>
    </row>
    <row r="513" s="2" customFormat="1" spans="1:31">
      <c r="A513" s="4">
        <v>511</v>
      </c>
      <c r="B513" s="5" t="s">
        <v>1100</v>
      </c>
      <c r="C513" s="4" t="s">
        <v>1094</v>
      </c>
      <c r="D513" s="25" t="s">
        <v>76</v>
      </c>
      <c r="E513" s="4">
        <v>7</v>
      </c>
      <c r="F513" s="5">
        <v>2</v>
      </c>
      <c r="G513" s="5">
        <v>2</v>
      </c>
      <c r="H513" s="6">
        <f t="shared" si="490"/>
        <v>0.91</v>
      </c>
      <c r="I513" s="4">
        <f t="shared" si="491"/>
        <v>18100</v>
      </c>
      <c r="J513" s="22">
        <f>ROUND(VLOOKUP(D513,[1]物品容器!$T$3:$U$8,2,FALSE)*M513,0)*0.5</f>
        <v>4972.5</v>
      </c>
      <c r="K513" s="18">
        <f t="shared" si="492"/>
        <v>4525</v>
      </c>
      <c r="L513" s="18">
        <f t="shared" ref="L513:O513" si="558">ROUND($I513*L$2,0)</f>
        <v>10860</v>
      </c>
      <c r="M513" s="7">
        <v>0.9945</v>
      </c>
      <c r="N513" s="18">
        <f t="shared" si="558"/>
        <v>2715</v>
      </c>
      <c r="O513" s="18">
        <f t="shared" si="558"/>
        <v>271500</v>
      </c>
      <c r="P513" s="18">
        <f t="shared" si="494"/>
        <v>162.9</v>
      </c>
      <c r="Q513" s="18">
        <f t="shared" si="495"/>
        <v>902</v>
      </c>
      <c r="R513" s="42" t="s">
        <v>1100</v>
      </c>
      <c r="S513" s="4" t="e">
        <f t="shared" si="496"/>
        <v>#N/A</v>
      </c>
      <c r="W513" s="4"/>
      <c r="X513" s="4"/>
      <c r="AD513" s="4" t="s">
        <v>642</v>
      </c>
      <c r="AE513" s="4">
        <v>160070031</v>
      </c>
    </row>
    <row r="514" s="2" customFormat="1" spans="1:31">
      <c r="A514" s="4">
        <v>512</v>
      </c>
      <c r="B514" s="5" t="s">
        <v>1101</v>
      </c>
      <c r="C514" s="4" t="s">
        <v>1094</v>
      </c>
      <c r="D514" s="25" t="s">
        <v>76</v>
      </c>
      <c r="E514" s="4">
        <v>8</v>
      </c>
      <c r="F514" s="5">
        <v>2</v>
      </c>
      <c r="G514" s="5">
        <v>2</v>
      </c>
      <c r="H514" s="6">
        <f t="shared" si="490"/>
        <v>0.91</v>
      </c>
      <c r="I514" s="4">
        <f t="shared" si="491"/>
        <v>18322</v>
      </c>
      <c r="J514" s="22">
        <f>ROUND(VLOOKUP(D514,[1]物品容器!$T$3:$U$8,2,FALSE)*M514,0)*0.5</f>
        <v>5033.5</v>
      </c>
      <c r="K514" s="18">
        <f t="shared" si="492"/>
        <v>4580</v>
      </c>
      <c r="L514" s="18">
        <f t="shared" ref="L514:O514" si="559">ROUND($I514*L$2,0)</f>
        <v>10993</v>
      </c>
      <c r="M514" s="7">
        <v>1.0067</v>
      </c>
      <c r="N514" s="18">
        <f t="shared" si="559"/>
        <v>2748</v>
      </c>
      <c r="O514" s="18">
        <f t="shared" si="559"/>
        <v>274830</v>
      </c>
      <c r="P514" s="18">
        <f t="shared" si="494"/>
        <v>164.895</v>
      </c>
      <c r="Q514" s="18">
        <f t="shared" si="495"/>
        <v>913</v>
      </c>
      <c r="R514" s="42" t="s">
        <v>1101</v>
      </c>
      <c r="S514" s="4" t="e">
        <f t="shared" si="496"/>
        <v>#N/A</v>
      </c>
      <c r="W514" s="4"/>
      <c r="X514" s="4"/>
      <c r="AD514" s="4" t="s">
        <v>597</v>
      </c>
      <c r="AE514" s="4">
        <v>160070032</v>
      </c>
    </row>
    <row r="515" s="2" customFormat="1" spans="1:31">
      <c r="A515" s="4">
        <v>513</v>
      </c>
      <c r="B515" s="5" t="s">
        <v>1102</v>
      </c>
      <c r="C515" s="4" t="s">
        <v>1094</v>
      </c>
      <c r="D515" s="24" t="s">
        <v>63</v>
      </c>
      <c r="E515" s="4">
        <v>9</v>
      </c>
      <c r="F515" s="5">
        <v>2</v>
      </c>
      <c r="G515" s="5">
        <v>2</v>
      </c>
      <c r="H515" s="6">
        <f t="shared" ref="H515:H578" si="560">VLOOKUP(F515*G515,$T$3:$U$11,2,FALSE)</f>
        <v>0.91</v>
      </c>
      <c r="I515" s="4">
        <f t="shared" ref="I515:I578" si="561">ROUND(F515*G515*J515*H515,0)</f>
        <v>55091</v>
      </c>
      <c r="J515" s="22">
        <f>ROUND(VLOOKUP(D515,[1]物品容器!$T$3:$U$8,2,FALSE)*M515,0)*0.5</f>
        <v>15135</v>
      </c>
      <c r="K515" s="18">
        <f t="shared" ref="K515:K578" si="562">ROUND(J515*H515,0)</f>
        <v>13773</v>
      </c>
      <c r="L515" s="18">
        <f t="shared" ref="L515:O515" si="563">ROUND($I515*L$2,0)</f>
        <v>33055</v>
      </c>
      <c r="M515" s="7">
        <v>1.009</v>
      </c>
      <c r="N515" s="18">
        <f t="shared" si="563"/>
        <v>8264</v>
      </c>
      <c r="O515" s="18">
        <f t="shared" si="563"/>
        <v>826365</v>
      </c>
      <c r="P515" s="18">
        <f t="shared" ref="P515:P578" si="564">L515*1.5%</f>
        <v>495.825</v>
      </c>
      <c r="Q515" s="18">
        <f t="shared" ref="Q515:Q578" si="565">ROUND((O515-N515)*$Q$2,0)</f>
        <v>2745</v>
      </c>
      <c r="R515" s="42" t="s">
        <v>1102</v>
      </c>
      <c r="S515" s="4" t="e">
        <f t="shared" ref="S515:S578" si="566">VLOOKUP(B515,$AD:$AE,2,FALSE)</f>
        <v>#N/A</v>
      </c>
      <c r="W515" s="4"/>
      <c r="X515" s="4"/>
      <c r="AD515" s="4" t="s">
        <v>600</v>
      </c>
      <c r="AE515" s="4">
        <v>160070033</v>
      </c>
    </row>
    <row r="516" s="2" customFormat="1" spans="1:31">
      <c r="A516" s="4">
        <v>514</v>
      </c>
      <c r="B516" s="5" t="s">
        <v>1103</v>
      </c>
      <c r="C516" s="4" t="s">
        <v>1094</v>
      </c>
      <c r="D516" s="24" t="s">
        <v>63</v>
      </c>
      <c r="E516" s="4">
        <v>10</v>
      </c>
      <c r="F516" s="5">
        <v>2</v>
      </c>
      <c r="G516" s="5">
        <v>2</v>
      </c>
      <c r="H516" s="6">
        <f t="shared" si="560"/>
        <v>0.91</v>
      </c>
      <c r="I516" s="4">
        <f t="shared" si="561"/>
        <v>54518</v>
      </c>
      <c r="J516" s="22">
        <f>ROUND(VLOOKUP(D516,[1]物品容器!$T$3:$U$8,2,FALSE)*M516,0)*0.5</f>
        <v>14977.5</v>
      </c>
      <c r="K516" s="18">
        <f t="shared" si="562"/>
        <v>13630</v>
      </c>
      <c r="L516" s="18">
        <f t="shared" ref="L516:O516" si="567">ROUND($I516*L$2,0)</f>
        <v>32711</v>
      </c>
      <c r="M516" s="7">
        <v>0.9985</v>
      </c>
      <c r="N516" s="18">
        <f t="shared" si="567"/>
        <v>8178</v>
      </c>
      <c r="O516" s="18">
        <f t="shared" si="567"/>
        <v>817770</v>
      </c>
      <c r="P516" s="18">
        <f t="shared" si="564"/>
        <v>490.665</v>
      </c>
      <c r="Q516" s="18">
        <f t="shared" si="565"/>
        <v>2717</v>
      </c>
      <c r="R516" s="42" t="s">
        <v>1103</v>
      </c>
      <c r="S516" s="4" t="e">
        <f t="shared" si="566"/>
        <v>#N/A</v>
      </c>
      <c r="W516" s="4"/>
      <c r="X516" s="4"/>
      <c r="AD516" s="4" t="s">
        <v>602</v>
      </c>
      <c r="AE516" s="4">
        <v>160070034</v>
      </c>
    </row>
    <row r="517" s="2" customFormat="1" spans="1:31">
      <c r="A517" s="4">
        <v>515</v>
      </c>
      <c r="B517" s="5" t="s">
        <v>1104</v>
      </c>
      <c r="C517" s="4" t="s">
        <v>1094</v>
      </c>
      <c r="D517" s="24" t="s">
        <v>63</v>
      </c>
      <c r="E517" s="4">
        <v>11</v>
      </c>
      <c r="F517" s="5">
        <v>2</v>
      </c>
      <c r="G517" s="5">
        <v>2</v>
      </c>
      <c r="H517" s="6">
        <f t="shared" si="560"/>
        <v>0.91</v>
      </c>
      <c r="I517" s="4">
        <f t="shared" si="561"/>
        <v>54573</v>
      </c>
      <c r="J517" s="22">
        <f>ROUND(VLOOKUP(D517,[1]物品容器!$T$3:$U$8,2,FALSE)*M517,0)*0.5</f>
        <v>14992.5</v>
      </c>
      <c r="K517" s="18">
        <f t="shared" si="562"/>
        <v>13643</v>
      </c>
      <c r="L517" s="18">
        <f t="shared" ref="L517:O517" si="568">ROUND($I517*L$2,0)</f>
        <v>32744</v>
      </c>
      <c r="M517" s="7">
        <v>0.9995</v>
      </c>
      <c r="N517" s="18">
        <f t="shared" si="568"/>
        <v>8186</v>
      </c>
      <c r="O517" s="18">
        <f t="shared" si="568"/>
        <v>818595</v>
      </c>
      <c r="P517" s="18">
        <f t="shared" si="564"/>
        <v>491.16</v>
      </c>
      <c r="Q517" s="18">
        <f t="shared" si="565"/>
        <v>2719</v>
      </c>
      <c r="R517" s="42" t="s">
        <v>1104</v>
      </c>
      <c r="S517" s="4" t="e">
        <f t="shared" si="566"/>
        <v>#N/A</v>
      </c>
      <c r="W517" s="4"/>
      <c r="X517" s="4"/>
      <c r="AD517" s="4" t="s">
        <v>604</v>
      </c>
      <c r="AE517" s="4">
        <v>160070035</v>
      </c>
    </row>
    <row r="518" s="2" customFormat="1" spans="1:31">
      <c r="A518" s="4">
        <v>516</v>
      </c>
      <c r="B518" s="5" t="s">
        <v>1105</v>
      </c>
      <c r="C518" s="4" t="s">
        <v>1094</v>
      </c>
      <c r="D518" s="22" t="s">
        <v>41</v>
      </c>
      <c r="E518" s="4">
        <v>12</v>
      </c>
      <c r="F518" s="5">
        <v>2</v>
      </c>
      <c r="G518" s="5">
        <v>3</v>
      </c>
      <c r="H518" s="6">
        <f t="shared" si="560"/>
        <v>0.88</v>
      </c>
      <c r="I518" s="4">
        <f t="shared" si="561"/>
        <v>264739</v>
      </c>
      <c r="J518" s="22">
        <f>ROUND(VLOOKUP(D518,[1]物品容器!$T$3:$U$8,2,FALSE)*M518,0)*0.5</f>
        <v>50140</v>
      </c>
      <c r="K518" s="18">
        <f t="shared" si="562"/>
        <v>44123</v>
      </c>
      <c r="L518" s="18">
        <f t="shared" ref="L518:O518" si="569">ROUND($I518*L$2,0)</f>
        <v>158843</v>
      </c>
      <c r="M518" s="7">
        <v>1.0028</v>
      </c>
      <c r="N518" s="18">
        <f t="shared" si="569"/>
        <v>39711</v>
      </c>
      <c r="O518" s="18">
        <f t="shared" si="569"/>
        <v>3971085</v>
      </c>
      <c r="P518" s="18">
        <f t="shared" si="564"/>
        <v>2382.645</v>
      </c>
      <c r="Q518" s="18">
        <f t="shared" si="565"/>
        <v>13192</v>
      </c>
      <c r="R518" s="42" t="s">
        <v>1105</v>
      </c>
      <c r="S518" s="4" t="e">
        <f t="shared" si="566"/>
        <v>#N/A</v>
      </c>
      <c r="W518" s="4"/>
      <c r="X518" s="4"/>
      <c r="AD518" s="4" t="s">
        <v>606</v>
      </c>
      <c r="AE518" s="4">
        <v>160070036</v>
      </c>
    </row>
    <row r="519" s="2" customFormat="1" spans="1:31">
      <c r="A519" s="4">
        <v>517</v>
      </c>
      <c r="B519" s="5" t="s">
        <v>1106</v>
      </c>
      <c r="C519" s="4" t="s">
        <v>1094</v>
      </c>
      <c r="D519" s="22" t="s">
        <v>41</v>
      </c>
      <c r="E519" s="4">
        <v>13</v>
      </c>
      <c r="F519" s="5">
        <v>2</v>
      </c>
      <c r="G519" s="5">
        <v>3</v>
      </c>
      <c r="H519" s="6">
        <f t="shared" si="560"/>
        <v>0.88</v>
      </c>
      <c r="I519" s="4">
        <f t="shared" si="561"/>
        <v>263208</v>
      </c>
      <c r="J519" s="22">
        <f>ROUND(VLOOKUP(D519,[1]物品容器!$T$3:$U$8,2,FALSE)*M519,0)*0.5</f>
        <v>49850</v>
      </c>
      <c r="K519" s="18">
        <f t="shared" si="562"/>
        <v>43868</v>
      </c>
      <c r="L519" s="18">
        <f t="shared" ref="L519:O519" si="570">ROUND($I519*L$2,0)</f>
        <v>157925</v>
      </c>
      <c r="M519" s="7">
        <v>0.997</v>
      </c>
      <c r="N519" s="18">
        <f t="shared" si="570"/>
        <v>39481</v>
      </c>
      <c r="O519" s="18">
        <f t="shared" si="570"/>
        <v>3948120</v>
      </c>
      <c r="P519" s="18">
        <f t="shared" si="564"/>
        <v>2368.875</v>
      </c>
      <c r="Q519" s="18">
        <f t="shared" si="565"/>
        <v>13115</v>
      </c>
      <c r="R519" s="42" t="s">
        <v>1106</v>
      </c>
      <c r="S519" s="4" t="e">
        <f t="shared" si="566"/>
        <v>#N/A</v>
      </c>
      <c r="W519" s="4"/>
      <c r="X519" s="4"/>
      <c r="AD519" s="4" t="s">
        <v>608</v>
      </c>
      <c r="AE519" s="4">
        <v>160070037</v>
      </c>
    </row>
    <row r="520" s="2" customFormat="1" spans="1:31">
      <c r="A520" s="4">
        <v>518</v>
      </c>
      <c r="B520" s="5" t="s">
        <v>1107</v>
      </c>
      <c r="C520" s="4" t="s">
        <v>1094</v>
      </c>
      <c r="D520" s="22" t="s">
        <v>41</v>
      </c>
      <c r="E520" s="4">
        <v>14</v>
      </c>
      <c r="F520" s="5">
        <v>2</v>
      </c>
      <c r="G520" s="5">
        <v>3</v>
      </c>
      <c r="H520" s="6">
        <f t="shared" si="560"/>
        <v>0.88</v>
      </c>
      <c r="I520" s="4">
        <f t="shared" si="561"/>
        <v>265109</v>
      </c>
      <c r="J520" s="22">
        <f>ROUND(VLOOKUP(D520,[1]物品容器!$T$3:$U$8,2,FALSE)*M520,0)*0.5</f>
        <v>50210</v>
      </c>
      <c r="K520" s="18">
        <f t="shared" si="562"/>
        <v>44185</v>
      </c>
      <c r="L520" s="18">
        <f t="shared" ref="L520:O520" si="571">ROUND($I520*L$2,0)</f>
        <v>159065</v>
      </c>
      <c r="M520" s="7">
        <v>1.0042</v>
      </c>
      <c r="N520" s="18">
        <f t="shared" si="571"/>
        <v>39766</v>
      </c>
      <c r="O520" s="18">
        <f t="shared" si="571"/>
        <v>3976635</v>
      </c>
      <c r="P520" s="18">
        <f t="shared" si="564"/>
        <v>2385.975</v>
      </c>
      <c r="Q520" s="18">
        <f t="shared" si="565"/>
        <v>13210</v>
      </c>
      <c r="R520" s="42" t="s">
        <v>1107</v>
      </c>
      <c r="S520" s="4" t="e">
        <f t="shared" si="566"/>
        <v>#N/A</v>
      </c>
      <c r="W520" s="4"/>
      <c r="X520" s="4"/>
      <c r="AD520" s="4" t="s">
        <v>610</v>
      </c>
      <c r="AE520" s="4">
        <v>160070038</v>
      </c>
    </row>
    <row r="521" s="2" customFormat="1" spans="1:31">
      <c r="A521" s="4">
        <v>519</v>
      </c>
      <c r="B521" s="5" t="s">
        <v>1108</v>
      </c>
      <c r="C521" s="4" t="s">
        <v>1094</v>
      </c>
      <c r="D521" s="17" t="s">
        <v>26</v>
      </c>
      <c r="E521" s="4">
        <v>15</v>
      </c>
      <c r="F521" s="5">
        <v>2</v>
      </c>
      <c r="G521" s="5">
        <v>3</v>
      </c>
      <c r="H521" s="6">
        <f t="shared" si="560"/>
        <v>0.88</v>
      </c>
      <c r="I521" s="4">
        <f t="shared" si="561"/>
        <v>785189</v>
      </c>
      <c r="J521" s="22">
        <f>ROUND(VLOOKUP(D521,[1]物品容器!$T$3:$U$8,2,FALSE)*M521,0)*0.5</f>
        <v>148710</v>
      </c>
      <c r="K521" s="18">
        <f t="shared" si="562"/>
        <v>130865</v>
      </c>
      <c r="L521" s="18">
        <f t="shared" ref="L521:O521" si="572">ROUND($I521*L$2,0)</f>
        <v>471113</v>
      </c>
      <c r="M521" s="7">
        <v>0.9914</v>
      </c>
      <c r="N521" s="18">
        <f t="shared" si="572"/>
        <v>117778</v>
      </c>
      <c r="O521" s="18">
        <f t="shared" si="572"/>
        <v>11777835</v>
      </c>
      <c r="P521" s="18">
        <f t="shared" si="564"/>
        <v>7066.695</v>
      </c>
      <c r="Q521" s="18">
        <f t="shared" si="565"/>
        <v>39125</v>
      </c>
      <c r="R521" s="42" t="s">
        <v>1108</v>
      </c>
      <c r="S521" s="4" t="e">
        <f t="shared" si="566"/>
        <v>#N/A</v>
      </c>
      <c r="W521" s="4"/>
      <c r="X521" s="4"/>
      <c r="AD521" s="4" t="s">
        <v>612</v>
      </c>
      <c r="AE521" s="4">
        <v>160070039</v>
      </c>
    </row>
    <row r="522" s="2" customFormat="1" spans="1:31">
      <c r="A522" s="4">
        <v>520</v>
      </c>
      <c r="B522" s="5" t="s">
        <v>1109</v>
      </c>
      <c r="C522" s="4" t="s">
        <v>1094</v>
      </c>
      <c r="D522" s="17" t="s">
        <v>26</v>
      </c>
      <c r="E522" s="4">
        <v>16</v>
      </c>
      <c r="F522" s="5">
        <v>2</v>
      </c>
      <c r="G522" s="5">
        <v>3</v>
      </c>
      <c r="H522" s="6">
        <f t="shared" si="560"/>
        <v>0.88</v>
      </c>
      <c r="I522" s="4">
        <f t="shared" si="561"/>
        <v>797465</v>
      </c>
      <c r="J522" s="22">
        <f>ROUND(VLOOKUP(D522,[1]物品容器!$T$3:$U$8,2,FALSE)*M522,0)*0.5</f>
        <v>151035</v>
      </c>
      <c r="K522" s="18">
        <f t="shared" si="562"/>
        <v>132911</v>
      </c>
      <c r="L522" s="18">
        <f t="shared" ref="L522:O522" si="573">ROUND($I522*L$2,0)</f>
        <v>478479</v>
      </c>
      <c r="M522" s="7">
        <v>1.0069</v>
      </c>
      <c r="N522" s="18">
        <f t="shared" si="573"/>
        <v>119620</v>
      </c>
      <c r="O522" s="18">
        <f t="shared" si="573"/>
        <v>11961975</v>
      </c>
      <c r="P522" s="18">
        <f t="shared" si="564"/>
        <v>7177.185</v>
      </c>
      <c r="Q522" s="18">
        <f t="shared" si="565"/>
        <v>39737</v>
      </c>
      <c r="R522" s="42" t="s">
        <v>1109</v>
      </c>
      <c r="S522" s="4" t="e">
        <f t="shared" si="566"/>
        <v>#N/A</v>
      </c>
      <c r="W522" s="4"/>
      <c r="X522" s="4"/>
      <c r="AD522" s="4" t="s">
        <v>614</v>
      </c>
      <c r="AE522" s="4">
        <v>160070040</v>
      </c>
    </row>
    <row r="523" s="2" customFormat="1" spans="1:31">
      <c r="A523" s="4">
        <v>521</v>
      </c>
      <c r="B523" s="5" t="s">
        <v>143</v>
      </c>
      <c r="C523" s="4"/>
      <c r="D523" s="27" t="s">
        <v>116</v>
      </c>
      <c r="E523" s="4">
        <v>1</v>
      </c>
      <c r="F523" s="5">
        <v>2</v>
      </c>
      <c r="G523" s="5">
        <v>2</v>
      </c>
      <c r="H523" s="6">
        <f t="shared" si="560"/>
        <v>0.91</v>
      </c>
      <c r="I523" s="4">
        <f t="shared" si="561"/>
        <v>3658</v>
      </c>
      <c r="J523" s="13">
        <f>ROUND(VLOOKUP(D523,[1]物品容器!$T$3:$U$8,2,FALSE)*M523,0)</f>
        <v>1005</v>
      </c>
      <c r="K523" s="18">
        <f t="shared" si="562"/>
        <v>915</v>
      </c>
      <c r="L523" s="18">
        <f t="shared" ref="L523:O523" si="574">ROUND($I523*L$2,0)</f>
        <v>2195</v>
      </c>
      <c r="M523" s="7">
        <v>1.0052</v>
      </c>
      <c r="N523" s="18">
        <f t="shared" si="574"/>
        <v>549</v>
      </c>
      <c r="O523" s="18">
        <f t="shared" si="574"/>
        <v>54870</v>
      </c>
      <c r="P523" s="18">
        <f t="shared" si="564"/>
        <v>32.925</v>
      </c>
      <c r="Q523" s="18">
        <f t="shared" si="565"/>
        <v>182</v>
      </c>
      <c r="R523" s="42" t="s">
        <v>143</v>
      </c>
      <c r="S523" s="4">
        <f t="shared" si="566"/>
        <v>122000000</v>
      </c>
      <c r="W523" s="4"/>
      <c r="X523" s="4"/>
      <c r="AD523" s="4" t="s">
        <v>616</v>
      </c>
      <c r="AE523" s="4">
        <v>160070041</v>
      </c>
    </row>
    <row r="524" s="2" customFormat="1" spans="1:31">
      <c r="A524" s="4">
        <v>522</v>
      </c>
      <c r="B524" s="5" t="s">
        <v>1110</v>
      </c>
      <c r="C524" s="4" t="s">
        <v>1094</v>
      </c>
      <c r="D524" s="27" t="s">
        <v>116</v>
      </c>
      <c r="E524" s="4">
        <v>2</v>
      </c>
      <c r="F524" s="5">
        <v>2</v>
      </c>
      <c r="G524" s="5">
        <v>2</v>
      </c>
      <c r="H524" s="6">
        <f t="shared" si="560"/>
        <v>0.91</v>
      </c>
      <c r="I524" s="4">
        <f t="shared" si="561"/>
        <v>3640</v>
      </c>
      <c r="J524" s="13">
        <f>ROUND(VLOOKUP(D524,[1]物品容器!$T$3:$U$8,2,FALSE)*M524,0)</f>
        <v>1000</v>
      </c>
      <c r="K524" s="18">
        <f t="shared" si="562"/>
        <v>910</v>
      </c>
      <c r="L524" s="18">
        <f t="shared" ref="L524:O524" si="575">ROUND($I524*L$2,0)</f>
        <v>2184</v>
      </c>
      <c r="M524" s="7">
        <v>0.9998</v>
      </c>
      <c r="N524" s="18">
        <f t="shared" si="575"/>
        <v>546</v>
      </c>
      <c r="O524" s="18">
        <f t="shared" si="575"/>
        <v>54600</v>
      </c>
      <c r="P524" s="18">
        <f t="shared" si="564"/>
        <v>32.76</v>
      </c>
      <c r="Q524" s="18">
        <f t="shared" si="565"/>
        <v>181</v>
      </c>
      <c r="R524" s="42" t="s">
        <v>1110</v>
      </c>
      <c r="S524" s="4" t="e">
        <f t="shared" si="566"/>
        <v>#N/A</v>
      </c>
      <c r="W524" s="4"/>
      <c r="X524" s="4"/>
      <c r="AD524" s="4" t="s">
        <v>618</v>
      </c>
      <c r="AE524" s="4">
        <v>160070042</v>
      </c>
    </row>
    <row r="525" s="2" customFormat="1" spans="1:31">
      <c r="A525" s="4">
        <v>523</v>
      </c>
      <c r="B525" s="5" t="s">
        <v>1111</v>
      </c>
      <c r="C525" s="4" t="s">
        <v>1094</v>
      </c>
      <c r="D525" s="27" t="s">
        <v>116</v>
      </c>
      <c r="E525" s="4">
        <v>3</v>
      </c>
      <c r="F525" s="5">
        <v>2</v>
      </c>
      <c r="G525" s="5">
        <v>2</v>
      </c>
      <c r="H525" s="6">
        <f t="shared" si="560"/>
        <v>0.91</v>
      </c>
      <c r="I525" s="4">
        <f t="shared" si="561"/>
        <v>3662</v>
      </c>
      <c r="J525" s="13">
        <f>ROUND(VLOOKUP(D525,[1]物品容器!$T$3:$U$8,2,FALSE)*M525,0)</f>
        <v>1006</v>
      </c>
      <c r="K525" s="18">
        <f t="shared" si="562"/>
        <v>915</v>
      </c>
      <c r="L525" s="18">
        <f t="shared" ref="L525:O525" si="576">ROUND($I525*L$2,0)</f>
        <v>2197</v>
      </c>
      <c r="M525" s="7">
        <v>1.0059</v>
      </c>
      <c r="N525" s="18">
        <f t="shared" si="576"/>
        <v>549</v>
      </c>
      <c r="O525" s="18">
        <f t="shared" si="576"/>
        <v>54930</v>
      </c>
      <c r="P525" s="18">
        <f t="shared" si="564"/>
        <v>32.955</v>
      </c>
      <c r="Q525" s="18">
        <f t="shared" si="565"/>
        <v>182</v>
      </c>
      <c r="R525" s="42" t="s">
        <v>1111</v>
      </c>
      <c r="S525" s="4" t="e">
        <f t="shared" si="566"/>
        <v>#N/A</v>
      </c>
      <c r="W525" s="4"/>
      <c r="X525" s="4"/>
      <c r="AD525" s="4" t="s">
        <v>1112</v>
      </c>
      <c r="AE525" s="4">
        <v>500000</v>
      </c>
    </row>
    <row r="526" s="2" customFormat="1" spans="1:31">
      <c r="A526" s="4">
        <v>524</v>
      </c>
      <c r="B526" s="5" t="s">
        <v>1113</v>
      </c>
      <c r="C526" s="4" t="s">
        <v>1094</v>
      </c>
      <c r="D526" s="26" t="s">
        <v>94</v>
      </c>
      <c r="E526" s="4">
        <v>4</v>
      </c>
      <c r="F526" s="5">
        <v>2</v>
      </c>
      <c r="G526" s="5">
        <v>2</v>
      </c>
      <c r="H526" s="6">
        <f t="shared" si="560"/>
        <v>0.91</v>
      </c>
      <c r="I526" s="4">
        <f t="shared" si="561"/>
        <v>10895</v>
      </c>
      <c r="J526" s="13">
        <f>ROUND(VLOOKUP(D526,[1]物品容器!$T$3:$U$8,2,FALSE)*M526,0)</f>
        <v>2993</v>
      </c>
      <c r="K526" s="18">
        <f t="shared" si="562"/>
        <v>2724</v>
      </c>
      <c r="L526" s="18">
        <f t="shared" ref="L526:O526" si="577">ROUND($I526*L$2,0)</f>
        <v>6537</v>
      </c>
      <c r="M526" s="7">
        <v>0.9978</v>
      </c>
      <c r="N526" s="18">
        <f t="shared" si="577"/>
        <v>1634</v>
      </c>
      <c r="O526" s="18">
        <f t="shared" si="577"/>
        <v>163425</v>
      </c>
      <c r="P526" s="18">
        <f t="shared" si="564"/>
        <v>98.055</v>
      </c>
      <c r="Q526" s="18">
        <f t="shared" si="565"/>
        <v>543</v>
      </c>
      <c r="R526" s="42" t="s">
        <v>1113</v>
      </c>
      <c r="S526" s="4" t="e">
        <f t="shared" si="566"/>
        <v>#N/A</v>
      </c>
      <c r="W526" s="4"/>
      <c r="X526" s="4"/>
      <c r="AD526" s="4" t="s">
        <v>1114</v>
      </c>
      <c r="AE526" s="4">
        <v>230000000</v>
      </c>
    </row>
    <row r="527" s="2" customFormat="1" spans="1:31">
      <c r="A527" s="4">
        <v>525</v>
      </c>
      <c r="B527" s="5" t="s">
        <v>1115</v>
      </c>
      <c r="C527" s="4" t="s">
        <v>1094</v>
      </c>
      <c r="D527" s="26" t="s">
        <v>94</v>
      </c>
      <c r="E527" s="4">
        <v>5</v>
      </c>
      <c r="F527" s="5">
        <v>2</v>
      </c>
      <c r="G527" s="5">
        <v>2</v>
      </c>
      <c r="H527" s="6">
        <f t="shared" si="560"/>
        <v>0.91</v>
      </c>
      <c r="I527" s="4">
        <f t="shared" si="561"/>
        <v>10833</v>
      </c>
      <c r="J527" s="13">
        <f>ROUND(VLOOKUP(D527,[1]物品容器!$T$3:$U$8,2,FALSE)*M527,0)</f>
        <v>2976</v>
      </c>
      <c r="K527" s="18">
        <f t="shared" si="562"/>
        <v>2708</v>
      </c>
      <c r="L527" s="18">
        <f t="shared" ref="L527:O527" si="578">ROUND($I527*L$2,0)</f>
        <v>6500</v>
      </c>
      <c r="M527" s="7">
        <v>0.9921</v>
      </c>
      <c r="N527" s="18">
        <f t="shared" si="578"/>
        <v>1625</v>
      </c>
      <c r="O527" s="18">
        <f t="shared" si="578"/>
        <v>162495</v>
      </c>
      <c r="P527" s="18">
        <f t="shared" si="564"/>
        <v>97.5</v>
      </c>
      <c r="Q527" s="18">
        <f t="shared" si="565"/>
        <v>540</v>
      </c>
      <c r="R527" s="42" t="s">
        <v>1115</v>
      </c>
      <c r="S527" s="4" t="e">
        <f t="shared" si="566"/>
        <v>#N/A</v>
      </c>
      <c r="W527" s="4"/>
      <c r="X527" s="4"/>
      <c r="AD527" s="4" t="s">
        <v>1017</v>
      </c>
      <c r="AE527" s="4">
        <v>230010000</v>
      </c>
    </row>
    <row r="528" s="2" customFormat="1" spans="1:31">
      <c r="A528" s="4">
        <v>526</v>
      </c>
      <c r="B528" s="5" t="s">
        <v>1116</v>
      </c>
      <c r="C528" s="4" t="s">
        <v>1094</v>
      </c>
      <c r="D528" s="25" t="s">
        <v>76</v>
      </c>
      <c r="E528" s="4">
        <v>6</v>
      </c>
      <c r="F528" s="5">
        <v>2</v>
      </c>
      <c r="G528" s="5">
        <v>2</v>
      </c>
      <c r="H528" s="6">
        <f t="shared" si="560"/>
        <v>0.91</v>
      </c>
      <c r="I528" s="4">
        <f t="shared" si="561"/>
        <v>18269</v>
      </c>
      <c r="J528" s="22">
        <f>ROUND(VLOOKUP(D528,[1]物品容器!$T$3:$U$8,2,FALSE)*M528,0)*0.5</f>
        <v>5019</v>
      </c>
      <c r="K528" s="18">
        <f t="shared" si="562"/>
        <v>4567</v>
      </c>
      <c r="L528" s="18">
        <f t="shared" ref="L528:O528" si="579">ROUND($I528*L$2,0)</f>
        <v>10961</v>
      </c>
      <c r="M528" s="7">
        <v>1.0038</v>
      </c>
      <c r="N528" s="18">
        <f t="shared" si="579"/>
        <v>2740</v>
      </c>
      <c r="O528" s="18">
        <f t="shared" si="579"/>
        <v>274035</v>
      </c>
      <c r="P528" s="18">
        <f t="shared" si="564"/>
        <v>164.415</v>
      </c>
      <c r="Q528" s="18">
        <f t="shared" si="565"/>
        <v>910</v>
      </c>
      <c r="R528" s="42" t="s">
        <v>1116</v>
      </c>
      <c r="S528" s="4" t="e">
        <f t="shared" si="566"/>
        <v>#N/A</v>
      </c>
      <c r="W528" s="4"/>
      <c r="X528" s="4"/>
      <c r="AD528" s="4" t="s">
        <v>1010</v>
      </c>
      <c r="AE528" s="4">
        <v>230010100</v>
      </c>
    </row>
    <row r="529" s="2" customFormat="1" spans="1:31">
      <c r="A529" s="4">
        <v>527</v>
      </c>
      <c r="B529" s="5" t="s">
        <v>1117</v>
      </c>
      <c r="C529" s="4" t="s">
        <v>1094</v>
      </c>
      <c r="D529" s="25" t="s">
        <v>76</v>
      </c>
      <c r="E529" s="4">
        <v>7</v>
      </c>
      <c r="F529" s="5">
        <v>2</v>
      </c>
      <c r="G529" s="5">
        <v>2</v>
      </c>
      <c r="H529" s="6">
        <f t="shared" si="560"/>
        <v>0.91</v>
      </c>
      <c r="I529" s="4">
        <f t="shared" si="561"/>
        <v>18289</v>
      </c>
      <c r="J529" s="22">
        <f>ROUND(VLOOKUP(D529,[1]物品容器!$T$3:$U$8,2,FALSE)*M529,0)*0.5</f>
        <v>5024.5</v>
      </c>
      <c r="K529" s="18">
        <f t="shared" si="562"/>
        <v>4572</v>
      </c>
      <c r="L529" s="18">
        <f t="shared" ref="L529:O529" si="580">ROUND($I529*L$2,0)</f>
        <v>10973</v>
      </c>
      <c r="M529" s="7">
        <v>1.0049</v>
      </c>
      <c r="N529" s="18">
        <f t="shared" si="580"/>
        <v>2743</v>
      </c>
      <c r="O529" s="18">
        <f t="shared" si="580"/>
        <v>274335</v>
      </c>
      <c r="P529" s="18">
        <f t="shared" si="564"/>
        <v>164.595</v>
      </c>
      <c r="Q529" s="18">
        <f t="shared" si="565"/>
        <v>911</v>
      </c>
      <c r="R529" s="42" t="s">
        <v>1117</v>
      </c>
      <c r="S529" s="4" t="e">
        <f t="shared" si="566"/>
        <v>#N/A</v>
      </c>
      <c r="W529" s="4"/>
      <c r="X529" s="4"/>
      <c r="AD529" s="4" t="s">
        <v>1002</v>
      </c>
      <c r="AE529" s="4">
        <v>230010200</v>
      </c>
    </row>
    <row r="530" s="2" customFormat="1" spans="1:31">
      <c r="A530" s="4">
        <v>528</v>
      </c>
      <c r="B530" s="5" t="s">
        <v>1118</v>
      </c>
      <c r="C530" s="4" t="s">
        <v>1094</v>
      </c>
      <c r="D530" s="24" t="s">
        <v>63</v>
      </c>
      <c r="E530" s="4">
        <v>8</v>
      </c>
      <c r="F530" s="5">
        <v>2</v>
      </c>
      <c r="G530" s="5">
        <v>2</v>
      </c>
      <c r="H530" s="6">
        <f t="shared" si="560"/>
        <v>0.91</v>
      </c>
      <c r="I530" s="4">
        <f t="shared" si="561"/>
        <v>54786</v>
      </c>
      <c r="J530" s="22">
        <f>ROUND(VLOOKUP(D530,[1]物品容器!$T$3:$U$8,2,FALSE)*M530,0)*0.5</f>
        <v>15051</v>
      </c>
      <c r="K530" s="18">
        <f t="shared" si="562"/>
        <v>13696</v>
      </c>
      <c r="L530" s="18">
        <f t="shared" ref="L530:O530" si="581">ROUND($I530*L$2,0)</f>
        <v>32872</v>
      </c>
      <c r="M530" s="7">
        <v>1.0034</v>
      </c>
      <c r="N530" s="18">
        <f t="shared" si="581"/>
        <v>8218</v>
      </c>
      <c r="O530" s="18">
        <f t="shared" si="581"/>
        <v>821790</v>
      </c>
      <c r="P530" s="18">
        <f t="shared" si="564"/>
        <v>493.08</v>
      </c>
      <c r="Q530" s="18">
        <f t="shared" si="565"/>
        <v>2730</v>
      </c>
      <c r="R530" s="42" t="s">
        <v>1118</v>
      </c>
      <c r="S530" s="4" t="e">
        <f t="shared" si="566"/>
        <v>#N/A</v>
      </c>
      <c r="W530" s="4"/>
      <c r="X530" s="4"/>
      <c r="AD530" s="4" t="s">
        <v>995</v>
      </c>
      <c r="AE530" s="4">
        <v>230010300</v>
      </c>
    </row>
    <row r="531" s="2" customFormat="1" spans="1:31">
      <c r="A531" s="4">
        <v>529</v>
      </c>
      <c r="B531" s="5" t="s">
        <v>1119</v>
      </c>
      <c r="C531" s="4" t="s">
        <v>1094</v>
      </c>
      <c r="D531" s="24" t="s">
        <v>63</v>
      </c>
      <c r="E531" s="4">
        <v>9</v>
      </c>
      <c r="F531" s="5">
        <v>2</v>
      </c>
      <c r="G531" s="5">
        <v>2</v>
      </c>
      <c r="H531" s="6">
        <f t="shared" si="560"/>
        <v>0.91</v>
      </c>
      <c r="I531" s="4">
        <f t="shared" si="561"/>
        <v>54928</v>
      </c>
      <c r="J531" s="22">
        <f>ROUND(VLOOKUP(D531,[1]物品容器!$T$3:$U$8,2,FALSE)*M531,0)*0.5</f>
        <v>15090</v>
      </c>
      <c r="K531" s="18">
        <f t="shared" si="562"/>
        <v>13732</v>
      </c>
      <c r="L531" s="18">
        <f t="shared" ref="L531:O531" si="582">ROUND($I531*L$2,0)</f>
        <v>32957</v>
      </c>
      <c r="M531" s="7">
        <v>1.006</v>
      </c>
      <c r="N531" s="18">
        <f t="shared" si="582"/>
        <v>8239</v>
      </c>
      <c r="O531" s="18">
        <f t="shared" si="582"/>
        <v>823920</v>
      </c>
      <c r="P531" s="18">
        <f t="shared" si="564"/>
        <v>494.355</v>
      </c>
      <c r="Q531" s="18">
        <f t="shared" si="565"/>
        <v>2737</v>
      </c>
      <c r="R531" s="42" t="s">
        <v>1119</v>
      </c>
      <c r="S531" s="4" t="e">
        <f t="shared" si="566"/>
        <v>#N/A</v>
      </c>
      <c r="W531" s="4"/>
      <c r="X531" s="4"/>
      <c r="AD531" s="4" t="s">
        <v>984</v>
      </c>
      <c r="AE531" s="4">
        <v>230010400</v>
      </c>
    </row>
    <row r="532" s="2" customFormat="1" spans="1:31">
      <c r="A532" s="4">
        <v>530</v>
      </c>
      <c r="B532" s="5" t="s">
        <v>1120</v>
      </c>
      <c r="C532" s="4" t="s">
        <v>1094</v>
      </c>
      <c r="D532" s="24" t="s">
        <v>63</v>
      </c>
      <c r="E532" s="4">
        <v>10</v>
      </c>
      <c r="F532" s="5">
        <v>2</v>
      </c>
      <c r="G532" s="5">
        <v>2</v>
      </c>
      <c r="H532" s="6">
        <f t="shared" si="560"/>
        <v>0.91</v>
      </c>
      <c r="I532" s="4">
        <f t="shared" si="561"/>
        <v>54556</v>
      </c>
      <c r="J532" s="22">
        <f>ROUND(VLOOKUP(D532,[1]物品容器!$T$3:$U$8,2,FALSE)*M532,0)*0.5</f>
        <v>14988</v>
      </c>
      <c r="K532" s="18">
        <f t="shared" si="562"/>
        <v>13639</v>
      </c>
      <c r="L532" s="18">
        <f t="shared" ref="L532:O532" si="583">ROUND($I532*L$2,0)</f>
        <v>32734</v>
      </c>
      <c r="M532" s="7">
        <v>0.9992</v>
      </c>
      <c r="N532" s="18">
        <f t="shared" si="583"/>
        <v>8183</v>
      </c>
      <c r="O532" s="18">
        <f t="shared" si="583"/>
        <v>818340</v>
      </c>
      <c r="P532" s="18">
        <f t="shared" si="564"/>
        <v>491.01</v>
      </c>
      <c r="Q532" s="18">
        <f t="shared" si="565"/>
        <v>2718</v>
      </c>
      <c r="R532" s="42" t="s">
        <v>1120</v>
      </c>
      <c r="S532" s="4" t="e">
        <f t="shared" si="566"/>
        <v>#N/A</v>
      </c>
      <c r="W532" s="4"/>
      <c r="X532" s="4"/>
      <c r="AD532" s="4" t="s">
        <v>968</v>
      </c>
      <c r="AE532" s="4">
        <v>230010500</v>
      </c>
    </row>
    <row r="533" s="2" customFormat="1" spans="1:31">
      <c r="A533" s="4">
        <v>531</v>
      </c>
      <c r="B533" s="5" t="s">
        <v>1121</v>
      </c>
      <c r="C533" s="4" t="s">
        <v>1094</v>
      </c>
      <c r="D533" s="22" t="s">
        <v>41</v>
      </c>
      <c r="E533" s="4">
        <v>11</v>
      </c>
      <c r="F533" s="5">
        <v>2</v>
      </c>
      <c r="G533" s="5">
        <v>3</v>
      </c>
      <c r="H533" s="6">
        <f t="shared" si="560"/>
        <v>0.88</v>
      </c>
      <c r="I533" s="4">
        <f t="shared" si="561"/>
        <v>261809</v>
      </c>
      <c r="J533" s="22">
        <f>ROUND(VLOOKUP(D533,[1]物品容器!$T$3:$U$8,2,FALSE)*M533,0)*0.5</f>
        <v>49585</v>
      </c>
      <c r="K533" s="18">
        <f t="shared" si="562"/>
        <v>43635</v>
      </c>
      <c r="L533" s="18">
        <f t="shared" ref="L533:O533" si="584">ROUND($I533*L$2,0)</f>
        <v>157085</v>
      </c>
      <c r="M533" s="7">
        <v>0.9917</v>
      </c>
      <c r="N533" s="18">
        <f t="shared" si="584"/>
        <v>39271</v>
      </c>
      <c r="O533" s="18">
        <f t="shared" si="584"/>
        <v>3927135</v>
      </c>
      <c r="P533" s="18">
        <f t="shared" si="564"/>
        <v>2356.275</v>
      </c>
      <c r="Q533" s="18">
        <f t="shared" si="565"/>
        <v>13046</v>
      </c>
      <c r="R533" s="42" t="s">
        <v>1121</v>
      </c>
      <c r="S533" s="4" t="e">
        <f t="shared" si="566"/>
        <v>#N/A</v>
      </c>
      <c r="W533" s="4"/>
      <c r="X533" s="4"/>
      <c r="AD533" s="4" t="s">
        <v>1023</v>
      </c>
      <c r="AE533" s="4">
        <v>230020000</v>
      </c>
    </row>
    <row r="534" s="2" customFormat="1" spans="1:31">
      <c r="A534" s="4">
        <v>532</v>
      </c>
      <c r="B534" s="5" t="s">
        <v>1121</v>
      </c>
      <c r="C534" s="4" t="s">
        <v>1094</v>
      </c>
      <c r="D534" s="22" t="s">
        <v>41</v>
      </c>
      <c r="E534" s="4">
        <v>12</v>
      </c>
      <c r="F534" s="5">
        <v>2</v>
      </c>
      <c r="G534" s="5">
        <v>3</v>
      </c>
      <c r="H534" s="6">
        <f t="shared" si="560"/>
        <v>0.88</v>
      </c>
      <c r="I534" s="4">
        <f t="shared" si="561"/>
        <v>265954</v>
      </c>
      <c r="J534" s="22">
        <f>ROUND(VLOOKUP(D534,[1]物品容器!$T$3:$U$8,2,FALSE)*M534,0)*0.5</f>
        <v>50370</v>
      </c>
      <c r="K534" s="18">
        <f t="shared" si="562"/>
        <v>44326</v>
      </c>
      <c r="L534" s="18">
        <f t="shared" ref="L534:O534" si="585">ROUND($I534*L$2,0)</f>
        <v>159572</v>
      </c>
      <c r="M534" s="7">
        <v>1.0074</v>
      </c>
      <c r="N534" s="18">
        <f t="shared" si="585"/>
        <v>39893</v>
      </c>
      <c r="O534" s="18">
        <f t="shared" si="585"/>
        <v>3989310</v>
      </c>
      <c r="P534" s="18">
        <f t="shared" si="564"/>
        <v>2393.58</v>
      </c>
      <c r="Q534" s="18">
        <f t="shared" si="565"/>
        <v>13252</v>
      </c>
      <c r="R534" s="42" t="s">
        <v>1121</v>
      </c>
      <c r="S534" s="4" t="e">
        <f t="shared" si="566"/>
        <v>#N/A</v>
      </c>
      <c r="W534" s="4"/>
      <c r="X534" s="4"/>
      <c r="AD534" s="4" t="s">
        <v>1015</v>
      </c>
      <c r="AE534" s="4">
        <v>230020100</v>
      </c>
    </row>
    <row r="535" s="2" customFormat="1" spans="1:31">
      <c r="A535" s="4">
        <v>533</v>
      </c>
      <c r="B535" s="5" t="s">
        <v>1122</v>
      </c>
      <c r="C535" s="4"/>
      <c r="D535" s="27" t="s">
        <v>116</v>
      </c>
      <c r="E535" s="4">
        <v>1</v>
      </c>
      <c r="F535" s="5">
        <v>1</v>
      </c>
      <c r="G535" s="5">
        <v>2</v>
      </c>
      <c r="H535" s="6">
        <f t="shared" si="560"/>
        <v>0.97</v>
      </c>
      <c r="I535" s="4">
        <f t="shared" si="561"/>
        <v>1930</v>
      </c>
      <c r="J535" s="13">
        <f>ROUND(VLOOKUP(D535,[1]物品容器!$T$3:$U$8,2,FALSE)*M535,0)</f>
        <v>995</v>
      </c>
      <c r="K535" s="18">
        <f t="shared" si="562"/>
        <v>965</v>
      </c>
      <c r="L535" s="18">
        <f t="shared" ref="L535:O535" si="586">ROUND($I535*L$2,0)</f>
        <v>1158</v>
      </c>
      <c r="M535" s="7">
        <v>0.9946</v>
      </c>
      <c r="N535" s="18">
        <f t="shared" si="586"/>
        <v>290</v>
      </c>
      <c r="O535" s="18">
        <f t="shared" si="586"/>
        <v>28950</v>
      </c>
      <c r="P535" s="18">
        <f t="shared" si="564"/>
        <v>17.37</v>
      </c>
      <c r="Q535" s="18">
        <f t="shared" si="565"/>
        <v>96</v>
      </c>
      <c r="R535" s="42" t="s">
        <v>1122</v>
      </c>
      <c r="S535" s="4" t="e">
        <f t="shared" si="566"/>
        <v>#N/A</v>
      </c>
      <c r="W535" s="4"/>
      <c r="X535" s="4"/>
      <c r="AD535" s="4" t="s">
        <v>1008</v>
      </c>
      <c r="AE535" s="4">
        <v>230020200</v>
      </c>
    </row>
    <row r="536" s="2" customFormat="1" spans="1:31">
      <c r="A536" s="4">
        <v>534</v>
      </c>
      <c r="B536" s="5" t="s">
        <v>1123</v>
      </c>
      <c r="C536" s="4"/>
      <c r="D536" s="25" t="s">
        <v>76</v>
      </c>
      <c r="E536" s="4">
        <v>2</v>
      </c>
      <c r="F536" s="5">
        <v>2</v>
      </c>
      <c r="G536" s="5">
        <v>2</v>
      </c>
      <c r="H536" s="6">
        <f t="shared" si="560"/>
        <v>0.91</v>
      </c>
      <c r="I536" s="4">
        <f t="shared" si="561"/>
        <v>18313</v>
      </c>
      <c r="J536" s="22">
        <f>ROUND(VLOOKUP(D536,[1]物品容器!$T$3:$U$8,2,FALSE)*M536,0)*0.5</f>
        <v>5031</v>
      </c>
      <c r="K536" s="18">
        <f t="shared" si="562"/>
        <v>4578</v>
      </c>
      <c r="L536" s="18">
        <f t="shared" ref="L536:O536" si="587">ROUND($I536*L$2,0)</f>
        <v>10988</v>
      </c>
      <c r="M536" s="7">
        <v>1.0062</v>
      </c>
      <c r="N536" s="18">
        <f t="shared" si="587"/>
        <v>2747</v>
      </c>
      <c r="O536" s="18">
        <f t="shared" si="587"/>
        <v>274695</v>
      </c>
      <c r="P536" s="18">
        <f t="shared" si="564"/>
        <v>164.82</v>
      </c>
      <c r="Q536" s="18">
        <f t="shared" si="565"/>
        <v>913</v>
      </c>
      <c r="R536" s="42" t="s">
        <v>1123</v>
      </c>
      <c r="S536" s="4" t="e">
        <f t="shared" si="566"/>
        <v>#N/A</v>
      </c>
      <c r="W536" s="4"/>
      <c r="X536" s="4"/>
      <c r="AD536" s="4" t="s">
        <v>1000</v>
      </c>
      <c r="AE536" s="4">
        <v>230020300</v>
      </c>
    </row>
    <row r="537" s="2" customFormat="1" spans="1:31">
      <c r="A537" s="4">
        <v>535</v>
      </c>
      <c r="B537" s="5" t="s">
        <v>1124</v>
      </c>
      <c r="C537" s="4"/>
      <c r="D537" s="24" t="s">
        <v>63</v>
      </c>
      <c r="E537" s="4">
        <v>3</v>
      </c>
      <c r="F537" s="5">
        <v>2</v>
      </c>
      <c r="G537" s="5">
        <v>3</v>
      </c>
      <c r="H537" s="6">
        <f t="shared" si="560"/>
        <v>0.88</v>
      </c>
      <c r="I537" s="4">
        <f t="shared" si="561"/>
        <v>79430</v>
      </c>
      <c r="J537" s="22">
        <f>ROUND(VLOOKUP(D537,[1]物品容器!$T$3:$U$8,2,FALSE)*M537,0)*0.5</f>
        <v>15043.5</v>
      </c>
      <c r="K537" s="18">
        <f t="shared" si="562"/>
        <v>13238</v>
      </c>
      <c r="L537" s="18">
        <f t="shared" ref="L537:O537" si="588">ROUND($I537*L$2,0)</f>
        <v>47658</v>
      </c>
      <c r="M537" s="7">
        <v>1.0029</v>
      </c>
      <c r="N537" s="18">
        <f t="shared" si="588"/>
        <v>11915</v>
      </c>
      <c r="O537" s="18">
        <f t="shared" si="588"/>
        <v>1191450</v>
      </c>
      <c r="P537" s="18">
        <f t="shared" si="564"/>
        <v>714.87</v>
      </c>
      <c r="Q537" s="18">
        <f t="shared" si="565"/>
        <v>3958</v>
      </c>
      <c r="R537" s="42" t="s">
        <v>1124</v>
      </c>
      <c r="S537" s="4" t="e">
        <f t="shared" si="566"/>
        <v>#N/A</v>
      </c>
      <c r="W537" s="4"/>
      <c r="X537" s="4"/>
      <c r="AD537" s="4" t="s">
        <v>993</v>
      </c>
      <c r="AE537" s="4">
        <v>230020400</v>
      </c>
    </row>
    <row r="538" s="2" customFormat="1" spans="1:31">
      <c r="A538" s="4">
        <v>536</v>
      </c>
      <c r="B538" s="5" t="s">
        <v>1125</v>
      </c>
      <c r="C538" s="4"/>
      <c r="D538" s="22" t="s">
        <v>41</v>
      </c>
      <c r="E538" s="4">
        <v>4</v>
      </c>
      <c r="F538" s="5">
        <v>3</v>
      </c>
      <c r="G538" s="5">
        <v>3</v>
      </c>
      <c r="H538" s="6">
        <f t="shared" si="560"/>
        <v>0.8</v>
      </c>
      <c r="I538" s="4">
        <f t="shared" si="561"/>
        <v>360468</v>
      </c>
      <c r="J538" s="22">
        <f>ROUND(VLOOKUP(D538,[1]物品容器!$T$3:$U$8,2,FALSE)*M538,0)*0.5</f>
        <v>50065</v>
      </c>
      <c r="K538" s="18">
        <f t="shared" si="562"/>
        <v>40052</v>
      </c>
      <c r="L538" s="18">
        <f t="shared" ref="L538:O538" si="589">ROUND($I538*L$2,0)</f>
        <v>216281</v>
      </c>
      <c r="M538" s="7">
        <v>1.0013</v>
      </c>
      <c r="N538" s="18">
        <f t="shared" si="589"/>
        <v>54070</v>
      </c>
      <c r="O538" s="18">
        <f t="shared" si="589"/>
        <v>5407020</v>
      </c>
      <c r="P538" s="18">
        <f t="shared" si="564"/>
        <v>3244.215</v>
      </c>
      <c r="Q538" s="18">
        <f t="shared" si="565"/>
        <v>17962</v>
      </c>
      <c r="R538" s="42" t="s">
        <v>1125</v>
      </c>
      <c r="S538" s="4" t="e">
        <f t="shared" si="566"/>
        <v>#N/A</v>
      </c>
      <c r="W538" s="4"/>
      <c r="X538" s="4"/>
      <c r="AD538" s="4" t="s">
        <v>979</v>
      </c>
      <c r="AE538" s="4">
        <v>230020500</v>
      </c>
    </row>
    <row r="539" s="2" customFormat="1" spans="1:31">
      <c r="A539" s="4">
        <v>537</v>
      </c>
      <c r="B539" s="5" t="s">
        <v>1126</v>
      </c>
      <c r="C539" s="4"/>
      <c r="D539" s="27" t="s">
        <v>116</v>
      </c>
      <c r="E539" s="4">
        <v>1</v>
      </c>
      <c r="F539" s="5">
        <v>1</v>
      </c>
      <c r="G539" s="5">
        <v>2</v>
      </c>
      <c r="H539" s="6">
        <f t="shared" si="560"/>
        <v>0.97</v>
      </c>
      <c r="I539" s="4">
        <f t="shared" si="561"/>
        <v>1948</v>
      </c>
      <c r="J539" s="13">
        <f>ROUND(VLOOKUP(D539,[1]物品容器!$T$3:$U$8,2,FALSE)*M539,0)</f>
        <v>1004</v>
      </c>
      <c r="K539" s="18">
        <f t="shared" si="562"/>
        <v>974</v>
      </c>
      <c r="L539" s="18">
        <f t="shared" ref="L539:O539" si="590">ROUND($I539*L$2,0)</f>
        <v>1169</v>
      </c>
      <c r="M539" s="7">
        <v>1.0044</v>
      </c>
      <c r="N539" s="18">
        <f t="shared" si="590"/>
        <v>292</v>
      </c>
      <c r="O539" s="18">
        <f t="shared" si="590"/>
        <v>29220</v>
      </c>
      <c r="P539" s="18">
        <f t="shared" si="564"/>
        <v>17.535</v>
      </c>
      <c r="Q539" s="18">
        <f t="shared" si="565"/>
        <v>97</v>
      </c>
      <c r="R539" s="42" t="s">
        <v>1126</v>
      </c>
      <c r="S539" s="4" t="e">
        <f t="shared" si="566"/>
        <v>#N/A</v>
      </c>
      <c r="W539" s="4"/>
      <c r="X539" s="4"/>
      <c r="AD539" s="4" t="s">
        <v>1020</v>
      </c>
      <c r="AE539" s="4">
        <v>230030000</v>
      </c>
    </row>
    <row r="540" s="2" customFormat="1" spans="1:31">
      <c r="A540" s="4">
        <v>538</v>
      </c>
      <c r="B540" s="5" t="s">
        <v>1127</v>
      </c>
      <c r="C540" s="4"/>
      <c r="D540" s="25" t="s">
        <v>76</v>
      </c>
      <c r="E540" s="4">
        <v>2</v>
      </c>
      <c r="F540" s="5">
        <v>2</v>
      </c>
      <c r="G540" s="5">
        <v>2</v>
      </c>
      <c r="H540" s="6">
        <f t="shared" si="560"/>
        <v>0.91</v>
      </c>
      <c r="I540" s="4">
        <f t="shared" si="561"/>
        <v>18244</v>
      </c>
      <c r="J540" s="22">
        <f>ROUND(VLOOKUP(D540,[1]物品容器!$T$3:$U$8,2,FALSE)*M540,0)*0.5</f>
        <v>5012</v>
      </c>
      <c r="K540" s="18">
        <f t="shared" si="562"/>
        <v>4561</v>
      </c>
      <c r="L540" s="18">
        <f t="shared" ref="L540:O540" si="591">ROUND($I540*L$2,0)</f>
        <v>10946</v>
      </c>
      <c r="M540" s="7">
        <v>1.0024</v>
      </c>
      <c r="N540" s="18">
        <f t="shared" si="591"/>
        <v>2737</v>
      </c>
      <c r="O540" s="18">
        <f t="shared" si="591"/>
        <v>273660</v>
      </c>
      <c r="P540" s="18">
        <f t="shared" si="564"/>
        <v>164.19</v>
      </c>
      <c r="Q540" s="18">
        <f t="shared" si="565"/>
        <v>909</v>
      </c>
      <c r="R540" s="42" t="s">
        <v>1127</v>
      </c>
      <c r="S540" s="4" t="e">
        <f t="shared" si="566"/>
        <v>#N/A</v>
      </c>
      <c r="W540" s="4"/>
      <c r="X540" s="4"/>
      <c r="AD540" s="4" t="s">
        <v>1012</v>
      </c>
      <c r="AE540" s="4">
        <v>230030100</v>
      </c>
    </row>
    <row r="541" s="2" customFormat="1" spans="1:31">
      <c r="A541" s="4">
        <v>539</v>
      </c>
      <c r="B541" s="5" t="s">
        <v>1128</v>
      </c>
      <c r="C541" s="4"/>
      <c r="D541" s="24" t="s">
        <v>63</v>
      </c>
      <c r="E541" s="4">
        <v>3</v>
      </c>
      <c r="F541" s="5">
        <v>2</v>
      </c>
      <c r="G541" s="5">
        <v>3</v>
      </c>
      <c r="H541" s="6">
        <f t="shared" si="560"/>
        <v>0.88</v>
      </c>
      <c r="I541" s="4">
        <f t="shared" si="561"/>
        <v>78630</v>
      </c>
      <c r="J541" s="22">
        <f>ROUND(VLOOKUP(D541,[1]物品容器!$T$3:$U$8,2,FALSE)*M541,0)*0.5</f>
        <v>14892</v>
      </c>
      <c r="K541" s="18">
        <f t="shared" si="562"/>
        <v>13105</v>
      </c>
      <c r="L541" s="18">
        <f t="shared" ref="L541:O541" si="592">ROUND($I541*L$2,0)</f>
        <v>47178</v>
      </c>
      <c r="M541" s="7">
        <v>0.9928</v>
      </c>
      <c r="N541" s="18">
        <f t="shared" si="592"/>
        <v>11795</v>
      </c>
      <c r="O541" s="18">
        <f t="shared" si="592"/>
        <v>1179450</v>
      </c>
      <c r="P541" s="18">
        <f t="shared" si="564"/>
        <v>707.67</v>
      </c>
      <c r="Q541" s="18">
        <f t="shared" si="565"/>
        <v>3918</v>
      </c>
      <c r="R541" s="42" t="s">
        <v>1128</v>
      </c>
      <c r="S541" s="4" t="e">
        <f t="shared" si="566"/>
        <v>#N/A</v>
      </c>
      <c r="W541" s="4"/>
      <c r="X541" s="4"/>
      <c r="AD541" s="4" t="s">
        <v>1004</v>
      </c>
      <c r="AE541" s="4">
        <v>230030200</v>
      </c>
    </row>
    <row r="542" s="2" customFormat="1" spans="1:31">
      <c r="A542" s="4">
        <v>540</v>
      </c>
      <c r="B542" s="5" t="s">
        <v>1129</v>
      </c>
      <c r="C542" s="4"/>
      <c r="D542" s="22" t="s">
        <v>41</v>
      </c>
      <c r="E542" s="4">
        <v>4</v>
      </c>
      <c r="F542" s="5">
        <v>3</v>
      </c>
      <c r="G542" s="5">
        <v>3</v>
      </c>
      <c r="H542" s="6">
        <f t="shared" si="560"/>
        <v>0.8</v>
      </c>
      <c r="I542" s="4">
        <f t="shared" si="561"/>
        <v>358272</v>
      </c>
      <c r="J542" s="22">
        <f>ROUND(VLOOKUP(D542,[1]物品容器!$T$3:$U$8,2,FALSE)*M542,0)*0.5</f>
        <v>49760</v>
      </c>
      <c r="K542" s="18">
        <f t="shared" si="562"/>
        <v>39808</v>
      </c>
      <c r="L542" s="18">
        <f t="shared" ref="L542:O542" si="593">ROUND($I542*L$2,0)</f>
        <v>214963</v>
      </c>
      <c r="M542" s="7">
        <v>0.9952</v>
      </c>
      <c r="N542" s="18">
        <f t="shared" si="593"/>
        <v>53741</v>
      </c>
      <c r="O542" s="18">
        <f t="shared" si="593"/>
        <v>5374080</v>
      </c>
      <c r="P542" s="18">
        <f t="shared" si="564"/>
        <v>3224.445</v>
      </c>
      <c r="Q542" s="18">
        <f t="shared" si="565"/>
        <v>17852</v>
      </c>
      <c r="R542" s="42" t="s">
        <v>1129</v>
      </c>
      <c r="S542" s="4" t="e">
        <f t="shared" si="566"/>
        <v>#N/A</v>
      </c>
      <c r="W542" s="4"/>
      <c r="X542" s="4"/>
      <c r="AD542" s="4" t="s">
        <v>997</v>
      </c>
      <c r="AE542" s="4">
        <v>230030300</v>
      </c>
    </row>
    <row r="543" s="2" customFormat="1" spans="1:31">
      <c r="A543" s="4">
        <v>541</v>
      </c>
      <c r="B543" s="5" t="s">
        <v>1130</v>
      </c>
      <c r="C543" s="41" t="s">
        <v>1131</v>
      </c>
      <c r="D543" s="17" t="s">
        <v>26</v>
      </c>
      <c r="E543" s="4">
        <v>1</v>
      </c>
      <c r="F543" s="5">
        <v>2</v>
      </c>
      <c r="G543" s="5">
        <v>2</v>
      </c>
      <c r="H543" s="6">
        <f t="shared" si="560"/>
        <v>0.91</v>
      </c>
      <c r="I543" s="4">
        <f t="shared" si="561"/>
        <v>542669</v>
      </c>
      <c r="J543" s="22">
        <f>ROUND(VLOOKUP(D543,[1]物品容器!$T$3:$U$8,2,FALSE)*M543,0)*0.5</f>
        <v>149085</v>
      </c>
      <c r="K543" s="18">
        <f t="shared" si="562"/>
        <v>135667</v>
      </c>
      <c r="L543" s="18">
        <f t="shared" ref="L543:O543" si="594">ROUND($I543*L$2,0)</f>
        <v>325601</v>
      </c>
      <c r="M543" s="7">
        <v>0.9939</v>
      </c>
      <c r="N543" s="18">
        <f t="shared" si="594"/>
        <v>81400</v>
      </c>
      <c r="O543" s="18">
        <f t="shared" si="594"/>
        <v>8140035</v>
      </c>
      <c r="P543" s="18">
        <f t="shared" si="564"/>
        <v>4884.015</v>
      </c>
      <c r="Q543" s="18">
        <f t="shared" si="565"/>
        <v>27041</v>
      </c>
      <c r="R543" s="42" t="s">
        <v>1130</v>
      </c>
      <c r="S543" s="4">
        <f t="shared" si="566"/>
        <v>233000010</v>
      </c>
      <c r="W543" s="4"/>
      <c r="X543" s="4"/>
      <c r="AD543" s="4" t="s">
        <v>987</v>
      </c>
      <c r="AE543" s="4">
        <v>230030400</v>
      </c>
    </row>
    <row r="544" s="2" customFormat="1" spans="1:31">
      <c r="A544" s="4">
        <v>542</v>
      </c>
      <c r="B544" s="5" t="s">
        <v>1132</v>
      </c>
      <c r="C544" s="41" t="s">
        <v>1131</v>
      </c>
      <c r="D544" s="17" t="s">
        <v>26</v>
      </c>
      <c r="E544" s="4">
        <v>2</v>
      </c>
      <c r="F544" s="5">
        <v>2</v>
      </c>
      <c r="G544" s="5">
        <v>2</v>
      </c>
      <c r="H544" s="6">
        <f t="shared" si="560"/>
        <v>0.91</v>
      </c>
      <c r="I544" s="4">
        <f t="shared" si="561"/>
        <v>545836</v>
      </c>
      <c r="J544" s="22">
        <f>ROUND(VLOOKUP(D544,[1]物品容器!$T$3:$U$8,2,FALSE)*M544,0)*0.5</f>
        <v>149955</v>
      </c>
      <c r="K544" s="18">
        <f t="shared" si="562"/>
        <v>136459</v>
      </c>
      <c r="L544" s="18">
        <f t="shared" ref="L544:O544" si="595">ROUND($I544*L$2,0)</f>
        <v>327502</v>
      </c>
      <c r="M544" s="7">
        <v>0.9997</v>
      </c>
      <c r="N544" s="18">
        <f t="shared" si="595"/>
        <v>81875</v>
      </c>
      <c r="O544" s="18">
        <f t="shared" si="595"/>
        <v>8187540</v>
      </c>
      <c r="P544" s="18">
        <f t="shared" si="564"/>
        <v>4912.53</v>
      </c>
      <c r="Q544" s="18">
        <f t="shared" si="565"/>
        <v>27198</v>
      </c>
      <c r="R544" s="42" t="s">
        <v>1132</v>
      </c>
      <c r="S544" s="4">
        <f t="shared" si="566"/>
        <v>233000011</v>
      </c>
      <c r="W544" s="4"/>
      <c r="X544" s="4"/>
      <c r="AD544" s="4" t="s">
        <v>973</v>
      </c>
      <c r="AE544" s="4">
        <v>230030500</v>
      </c>
    </row>
    <row r="545" s="2" customFormat="1" spans="1:31">
      <c r="A545" s="4">
        <v>543</v>
      </c>
      <c r="B545" s="5" t="s">
        <v>1133</v>
      </c>
      <c r="C545" s="41" t="s">
        <v>1131</v>
      </c>
      <c r="D545" s="17" t="s">
        <v>26</v>
      </c>
      <c r="E545" s="4">
        <v>3</v>
      </c>
      <c r="F545" s="5">
        <v>2</v>
      </c>
      <c r="G545" s="5">
        <v>2</v>
      </c>
      <c r="H545" s="6">
        <f t="shared" si="560"/>
        <v>0.91</v>
      </c>
      <c r="I545" s="4">
        <f t="shared" si="561"/>
        <v>541414</v>
      </c>
      <c r="J545" s="22">
        <f>ROUND(VLOOKUP(D545,[1]物品容器!$T$3:$U$8,2,FALSE)*M545,0)*0.5</f>
        <v>148740</v>
      </c>
      <c r="K545" s="18">
        <f t="shared" si="562"/>
        <v>135353</v>
      </c>
      <c r="L545" s="18">
        <f t="shared" ref="L545:O545" si="596">ROUND($I545*L$2,0)</f>
        <v>324848</v>
      </c>
      <c r="M545" s="7">
        <v>0.9916</v>
      </c>
      <c r="N545" s="18">
        <f t="shared" si="596"/>
        <v>81212</v>
      </c>
      <c r="O545" s="18">
        <f t="shared" si="596"/>
        <v>8121210</v>
      </c>
      <c r="P545" s="18">
        <f t="shared" si="564"/>
        <v>4872.72</v>
      </c>
      <c r="Q545" s="18">
        <f t="shared" si="565"/>
        <v>26978</v>
      </c>
      <c r="R545" s="42" t="s">
        <v>1133</v>
      </c>
      <c r="S545" s="4">
        <f t="shared" si="566"/>
        <v>233000012</v>
      </c>
      <c r="W545" s="4"/>
      <c r="X545" s="4"/>
      <c r="AD545" s="4" t="s">
        <v>1024</v>
      </c>
      <c r="AE545" s="4">
        <v>230040000</v>
      </c>
    </row>
    <row r="546" s="2" customFormat="1" spans="1:31">
      <c r="A546" s="4">
        <v>544</v>
      </c>
      <c r="B546" s="5" t="s">
        <v>1134</v>
      </c>
      <c r="C546" s="41" t="s">
        <v>1131</v>
      </c>
      <c r="D546" s="22" t="s">
        <v>41</v>
      </c>
      <c r="E546" s="4">
        <v>4</v>
      </c>
      <c r="F546" s="5">
        <v>2</v>
      </c>
      <c r="G546" s="5">
        <v>2</v>
      </c>
      <c r="H546" s="6">
        <f t="shared" si="560"/>
        <v>0.91</v>
      </c>
      <c r="I546" s="4">
        <f t="shared" si="561"/>
        <v>181527</v>
      </c>
      <c r="J546" s="22">
        <f>ROUND(VLOOKUP(D546,[1]物品容器!$T$3:$U$8,2,FALSE)*M546,0)*0.5</f>
        <v>49870</v>
      </c>
      <c r="K546" s="18">
        <f t="shared" si="562"/>
        <v>45382</v>
      </c>
      <c r="L546" s="18">
        <f t="shared" ref="L546:O546" si="597">ROUND($I546*L$2,0)</f>
        <v>108916</v>
      </c>
      <c r="M546" s="7">
        <v>0.9974</v>
      </c>
      <c r="N546" s="18">
        <f t="shared" si="597"/>
        <v>27229</v>
      </c>
      <c r="O546" s="18">
        <f t="shared" si="597"/>
        <v>2722905</v>
      </c>
      <c r="P546" s="18">
        <f t="shared" si="564"/>
        <v>1633.74</v>
      </c>
      <c r="Q546" s="18">
        <f t="shared" si="565"/>
        <v>9045</v>
      </c>
      <c r="R546" s="42" t="s">
        <v>1134</v>
      </c>
      <c r="S546" s="4">
        <f t="shared" si="566"/>
        <v>233000007</v>
      </c>
      <c r="W546" s="4"/>
      <c r="X546" s="4"/>
      <c r="AD546" s="4" t="s">
        <v>1016</v>
      </c>
      <c r="AE546" s="4">
        <v>230040100</v>
      </c>
    </row>
    <row r="547" s="2" customFormat="1" spans="1:31">
      <c r="A547" s="4">
        <v>545</v>
      </c>
      <c r="B547" s="5" t="s">
        <v>1135</v>
      </c>
      <c r="C547" s="41" t="s">
        <v>1131</v>
      </c>
      <c r="D547" s="22" t="s">
        <v>41</v>
      </c>
      <c r="E547" s="4">
        <v>5</v>
      </c>
      <c r="F547" s="5">
        <v>2</v>
      </c>
      <c r="G547" s="5">
        <v>2</v>
      </c>
      <c r="H547" s="6">
        <f t="shared" si="560"/>
        <v>0.91</v>
      </c>
      <c r="I547" s="4">
        <f t="shared" si="561"/>
        <v>183602</v>
      </c>
      <c r="J547" s="22">
        <f>ROUND(VLOOKUP(D547,[1]物品容器!$T$3:$U$8,2,FALSE)*M547,0)*0.5</f>
        <v>50440</v>
      </c>
      <c r="K547" s="18">
        <f t="shared" si="562"/>
        <v>45900</v>
      </c>
      <c r="L547" s="18">
        <f t="shared" ref="L547:O547" si="598">ROUND($I547*L$2,0)</f>
        <v>110161</v>
      </c>
      <c r="M547" s="7">
        <v>1.0088</v>
      </c>
      <c r="N547" s="18">
        <f t="shared" si="598"/>
        <v>27540</v>
      </c>
      <c r="O547" s="18">
        <f t="shared" si="598"/>
        <v>2754030</v>
      </c>
      <c r="P547" s="18">
        <f t="shared" si="564"/>
        <v>1652.415</v>
      </c>
      <c r="Q547" s="18">
        <f t="shared" si="565"/>
        <v>9149</v>
      </c>
      <c r="R547" s="42" t="s">
        <v>1135</v>
      </c>
      <c r="S547" s="4">
        <f t="shared" si="566"/>
        <v>233000008</v>
      </c>
      <c r="W547" s="4"/>
      <c r="X547" s="4"/>
      <c r="AD547" s="4" t="s">
        <v>1009</v>
      </c>
      <c r="AE547" s="4">
        <v>230040200</v>
      </c>
    </row>
    <row r="548" s="2" customFormat="1" spans="1:31">
      <c r="A548" s="4">
        <v>546</v>
      </c>
      <c r="B548" s="5" t="s">
        <v>1136</v>
      </c>
      <c r="C548" s="41" t="s">
        <v>1131</v>
      </c>
      <c r="D548" s="22" t="s">
        <v>41</v>
      </c>
      <c r="E548" s="4">
        <v>6</v>
      </c>
      <c r="F548" s="5">
        <v>2</v>
      </c>
      <c r="G548" s="5">
        <v>2</v>
      </c>
      <c r="H548" s="6">
        <f t="shared" si="560"/>
        <v>0.91</v>
      </c>
      <c r="I548" s="4">
        <f t="shared" si="561"/>
        <v>181745</v>
      </c>
      <c r="J548" s="22">
        <f>ROUND(VLOOKUP(D548,[1]物品容器!$T$3:$U$8,2,FALSE)*M548,0)*0.5</f>
        <v>49930</v>
      </c>
      <c r="K548" s="18">
        <f t="shared" si="562"/>
        <v>45436</v>
      </c>
      <c r="L548" s="18">
        <f t="shared" ref="L548:O548" si="599">ROUND($I548*L$2,0)</f>
        <v>109047</v>
      </c>
      <c r="M548" s="7">
        <v>0.9986</v>
      </c>
      <c r="N548" s="18">
        <f t="shared" si="599"/>
        <v>27262</v>
      </c>
      <c r="O548" s="18">
        <f t="shared" si="599"/>
        <v>2726175</v>
      </c>
      <c r="P548" s="18">
        <f t="shared" si="564"/>
        <v>1635.705</v>
      </c>
      <c r="Q548" s="18">
        <f t="shared" si="565"/>
        <v>9056</v>
      </c>
      <c r="R548" s="42" t="s">
        <v>1136</v>
      </c>
      <c r="S548" s="4">
        <f t="shared" si="566"/>
        <v>233000009</v>
      </c>
      <c r="W548" s="4"/>
      <c r="X548" s="4"/>
      <c r="AD548" s="4" t="s">
        <v>1001</v>
      </c>
      <c r="AE548" s="4">
        <v>230040300</v>
      </c>
    </row>
    <row r="549" s="2" customFormat="1" spans="1:31">
      <c r="A549" s="4">
        <v>547</v>
      </c>
      <c r="B549" s="5" t="s">
        <v>1137</v>
      </c>
      <c r="C549" s="41" t="s">
        <v>1131</v>
      </c>
      <c r="D549" s="24" t="s">
        <v>63</v>
      </c>
      <c r="E549" s="4">
        <v>7</v>
      </c>
      <c r="F549" s="5">
        <v>2</v>
      </c>
      <c r="G549" s="5">
        <v>2</v>
      </c>
      <c r="H549" s="6">
        <f t="shared" si="560"/>
        <v>0.91</v>
      </c>
      <c r="I549" s="4">
        <f t="shared" si="561"/>
        <v>54857</v>
      </c>
      <c r="J549" s="22">
        <f>ROUND(VLOOKUP(D549,[1]物品容器!$T$3:$U$8,2,FALSE)*M549,0)*0.5</f>
        <v>15070.5</v>
      </c>
      <c r="K549" s="18">
        <f t="shared" si="562"/>
        <v>13714</v>
      </c>
      <c r="L549" s="18">
        <f t="shared" ref="L549:O549" si="600">ROUND($I549*L$2,0)</f>
        <v>32914</v>
      </c>
      <c r="M549" s="7">
        <v>1.0047</v>
      </c>
      <c r="N549" s="18">
        <f t="shared" si="600"/>
        <v>8229</v>
      </c>
      <c r="O549" s="18">
        <f t="shared" si="600"/>
        <v>822855</v>
      </c>
      <c r="P549" s="18">
        <f t="shared" si="564"/>
        <v>493.71</v>
      </c>
      <c r="Q549" s="18">
        <f t="shared" si="565"/>
        <v>2733</v>
      </c>
      <c r="R549" s="42" t="s">
        <v>1137</v>
      </c>
      <c r="S549" s="4">
        <f t="shared" si="566"/>
        <v>233000004</v>
      </c>
      <c r="W549" s="4"/>
      <c r="X549" s="4"/>
      <c r="AD549" s="4" t="s">
        <v>994</v>
      </c>
      <c r="AE549" s="4">
        <v>230040400</v>
      </c>
    </row>
    <row r="550" s="2" customFormat="1" spans="1:31">
      <c r="A550" s="4">
        <v>548</v>
      </c>
      <c r="B550" s="5" t="s">
        <v>1138</v>
      </c>
      <c r="C550" s="41" t="s">
        <v>1131</v>
      </c>
      <c r="D550" s="24" t="s">
        <v>63</v>
      </c>
      <c r="E550" s="4">
        <v>8</v>
      </c>
      <c r="F550" s="5">
        <v>2</v>
      </c>
      <c r="G550" s="5">
        <v>2</v>
      </c>
      <c r="H550" s="6">
        <f t="shared" si="560"/>
        <v>0.91</v>
      </c>
      <c r="I550" s="4">
        <f t="shared" si="561"/>
        <v>54622</v>
      </c>
      <c r="J550" s="22">
        <f>ROUND(VLOOKUP(D550,[1]物品容器!$T$3:$U$8,2,FALSE)*M550,0)*0.5</f>
        <v>15006</v>
      </c>
      <c r="K550" s="18">
        <f t="shared" si="562"/>
        <v>13655</v>
      </c>
      <c r="L550" s="18">
        <f t="shared" ref="L550:O550" si="601">ROUND($I550*L$2,0)</f>
        <v>32773</v>
      </c>
      <c r="M550" s="7">
        <v>1.0004</v>
      </c>
      <c r="N550" s="18">
        <f t="shared" si="601"/>
        <v>8193</v>
      </c>
      <c r="O550" s="18">
        <f t="shared" si="601"/>
        <v>819330</v>
      </c>
      <c r="P550" s="18">
        <f t="shared" si="564"/>
        <v>491.595</v>
      </c>
      <c r="Q550" s="18">
        <f t="shared" si="565"/>
        <v>2722</v>
      </c>
      <c r="R550" s="42" t="s">
        <v>1138</v>
      </c>
      <c r="S550" s="4">
        <f t="shared" si="566"/>
        <v>233000005</v>
      </c>
      <c r="W550" s="4"/>
      <c r="X550" s="4"/>
      <c r="AD550" s="4" t="s">
        <v>982</v>
      </c>
      <c r="AE550" s="4">
        <v>230040500</v>
      </c>
    </row>
    <row r="551" s="2" customFormat="1" spans="1:31">
      <c r="A551" s="4">
        <v>549</v>
      </c>
      <c r="B551" s="5" t="s">
        <v>1139</v>
      </c>
      <c r="C551" s="41" t="s">
        <v>1131</v>
      </c>
      <c r="D551" s="24" t="s">
        <v>63</v>
      </c>
      <c r="E551" s="4">
        <v>9</v>
      </c>
      <c r="F551" s="5">
        <v>2</v>
      </c>
      <c r="G551" s="5">
        <v>2</v>
      </c>
      <c r="H551" s="6">
        <f t="shared" si="560"/>
        <v>0.91</v>
      </c>
      <c r="I551" s="4">
        <f t="shared" si="561"/>
        <v>54409</v>
      </c>
      <c r="J551" s="22">
        <f>ROUND(VLOOKUP(D551,[1]物品容器!$T$3:$U$8,2,FALSE)*M551,0)*0.5</f>
        <v>14947.5</v>
      </c>
      <c r="K551" s="18">
        <f t="shared" si="562"/>
        <v>13602</v>
      </c>
      <c r="L551" s="18">
        <f t="shared" ref="L551:O551" si="602">ROUND($I551*L$2,0)</f>
        <v>32645</v>
      </c>
      <c r="M551" s="7">
        <v>0.9965</v>
      </c>
      <c r="N551" s="18">
        <f t="shared" si="602"/>
        <v>8161</v>
      </c>
      <c r="O551" s="18">
        <f t="shared" si="602"/>
        <v>816135</v>
      </c>
      <c r="P551" s="18">
        <f t="shared" si="564"/>
        <v>489.675</v>
      </c>
      <c r="Q551" s="18">
        <f t="shared" si="565"/>
        <v>2711</v>
      </c>
      <c r="R551" s="42" t="s">
        <v>1139</v>
      </c>
      <c r="S551" s="4">
        <f t="shared" si="566"/>
        <v>233000006</v>
      </c>
      <c r="W551" s="4"/>
      <c r="X551" s="4"/>
      <c r="AD551" s="4" t="s">
        <v>1021</v>
      </c>
      <c r="AE551" s="4">
        <v>230050000</v>
      </c>
    </row>
    <row r="552" s="2" customFormat="1" spans="1:31">
      <c r="A552" s="4">
        <v>550</v>
      </c>
      <c r="B552" s="5" t="s">
        <v>1140</v>
      </c>
      <c r="C552" s="41" t="s">
        <v>1131</v>
      </c>
      <c r="D552" s="25" t="s">
        <v>76</v>
      </c>
      <c r="E552" s="4">
        <v>10</v>
      </c>
      <c r="F552" s="5">
        <v>2</v>
      </c>
      <c r="G552" s="5">
        <v>2</v>
      </c>
      <c r="H552" s="6">
        <f t="shared" si="560"/>
        <v>0.91</v>
      </c>
      <c r="I552" s="4">
        <f t="shared" si="561"/>
        <v>18156</v>
      </c>
      <c r="J552" s="22">
        <f>ROUND(VLOOKUP(D552,[1]物品容器!$T$3:$U$8,2,FALSE)*M552,0)*0.5</f>
        <v>4988</v>
      </c>
      <c r="K552" s="18">
        <f t="shared" si="562"/>
        <v>4539</v>
      </c>
      <c r="L552" s="18">
        <f t="shared" ref="L552:O552" si="603">ROUND($I552*L$2,0)</f>
        <v>10894</v>
      </c>
      <c r="M552" s="7">
        <v>0.9976</v>
      </c>
      <c r="N552" s="18">
        <f t="shared" si="603"/>
        <v>2723</v>
      </c>
      <c r="O552" s="18">
        <f t="shared" si="603"/>
        <v>272340</v>
      </c>
      <c r="P552" s="18">
        <f t="shared" si="564"/>
        <v>163.41</v>
      </c>
      <c r="Q552" s="18">
        <f t="shared" si="565"/>
        <v>905</v>
      </c>
      <c r="R552" s="42" t="s">
        <v>1140</v>
      </c>
      <c r="S552" s="4" t="e">
        <f t="shared" si="566"/>
        <v>#N/A</v>
      </c>
      <c r="W552" s="4"/>
      <c r="X552" s="4"/>
      <c r="AD552" s="4" t="s">
        <v>1013</v>
      </c>
      <c r="AE552" s="4">
        <v>230050100</v>
      </c>
    </row>
    <row r="553" s="2" customFormat="1" spans="1:31">
      <c r="A553" s="4">
        <v>551</v>
      </c>
      <c r="B553" s="5" t="s">
        <v>1141</v>
      </c>
      <c r="C553" s="41" t="s">
        <v>1131</v>
      </c>
      <c r="D553" s="25" t="s">
        <v>76</v>
      </c>
      <c r="E553" s="4">
        <v>11</v>
      </c>
      <c r="F553" s="5">
        <v>2</v>
      </c>
      <c r="G553" s="5">
        <v>2</v>
      </c>
      <c r="H553" s="6">
        <f t="shared" si="560"/>
        <v>0.91</v>
      </c>
      <c r="I553" s="4">
        <f t="shared" si="561"/>
        <v>18158</v>
      </c>
      <c r="J553" s="22">
        <f>ROUND(VLOOKUP(D553,[1]物品容器!$T$3:$U$8,2,FALSE)*M553,0)*0.5</f>
        <v>4988.5</v>
      </c>
      <c r="K553" s="18">
        <f t="shared" si="562"/>
        <v>4540</v>
      </c>
      <c r="L553" s="18">
        <f t="shared" ref="L553:O553" si="604">ROUND($I553*L$2,0)</f>
        <v>10895</v>
      </c>
      <c r="M553" s="7">
        <v>0.9977</v>
      </c>
      <c r="N553" s="18">
        <f t="shared" si="604"/>
        <v>2724</v>
      </c>
      <c r="O553" s="18">
        <f t="shared" si="604"/>
        <v>272370</v>
      </c>
      <c r="P553" s="18">
        <f t="shared" si="564"/>
        <v>163.425</v>
      </c>
      <c r="Q553" s="18">
        <f t="shared" si="565"/>
        <v>905</v>
      </c>
      <c r="R553" s="42" t="s">
        <v>1141</v>
      </c>
      <c r="S553" s="4" t="e">
        <f t="shared" si="566"/>
        <v>#N/A</v>
      </c>
      <c r="W553" s="4"/>
      <c r="X553" s="4"/>
      <c r="AD553" s="4" t="s">
        <v>1005</v>
      </c>
      <c r="AE553" s="4">
        <v>230050200</v>
      </c>
    </row>
    <row r="554" s="2" customFormat="1" spans="1:31">
      <c r="A554" s="4">
        <v>552</v>
      </c>
      <c r="B554" s="5" t="s">
        <v>1142</v>
      </c>
      <c r="C554" s="41" t="s">
        <v>1131</v>
      </c>
      <c r="D554" s="25" t="s">
        <v>76</v>
      </c>
      <c r="E554" s="4">
        <v>12</v>
      </c>
      <c r="F554" s="5">
        <v>2</v>
      </c>
      <c r="G554" s="5">
        <v>2</v>
      </c>
      <c r="H554" s="6">
        <f t="shared" si="560"/>
        <v>0.91</v>
      </c>
      <c r="I554" s="4">
        <f t="shared" si="561"/>
        <v>18311</v>
      </c>
      <c r="J554" s="22">
        <f>ROUND(VLOOKUP(D554,[1]物品容器!$T$3:$U$8,2,FALSE)*M554,0)*0.5</f>
        <v>5030.5</v>
      </c>
      <c r="K554" s="18">
        <f t="shared" si="562"/>
        <v>4578</v>
      </c>
      <c r="L554" s="18">
        <f t="shared" ref="L554:O554" si="605">ROUND($I554*L$2,0)</f>
        <v>10987</v>
      </c>
      <c r="M554" s="7">
        <v>1.0061</v>
      </c>
      <c r="N554" s="18">
        <f t="shared" si="605"/>
        <v>2747</v>
      </c>
      <c r="O554" s="18">
        <f t="shared" si="605"/>
        <v>274665</v>
      </c>
      <c r="P554" s="18">
        <f t="shared" si="564"/>
        <v>164.805</v>
      </c>
      <c r="Q554" s="18">
        <f t="shared" si="565"/>
        <v>912</v>
      </c>
      <c r="R554" s="42" t="s">
        <v>1142</v>
      </c>
      <c r="S554" s="4" t="e">
        <f t="shared" si="566"/>
        <v>#N/A</v>
      </c>
      <c r="W554" s="4"/>
      <c r="X554" s="4"/>
      <c r="AD554" s="4" t="s">
        <v>998</v>
      </c>
      <c r="AE554" s="4">
        <v>230050300</v>
      </c>
    </row>
    <row r="555" s="2" customFormat="1" spans="1:31">
      <c r="A555" s="4">
        <v>553</v>
      </c>
      <c r="B555" s="5" t="s">
        <v>1143</v>
      </c>
      <c r="C555" s="41" t="s">
        <v>1131</v>
      </c>
      <c r="D555" s="26" t="s">
        <v>94</v>
      </c>
      <c r="E555" s="4">
        <v>13</v>
      </c>
      <c r="F555" s="5">
        <v>2</v>
      </c>
      <c r="G555" s="5">
        <v>2</v>
      </c>
      <c r="H555" s="6">
        <f t="shared" si="560"/>
        <v>0.91</v>
      </c>
      <c r="I555" s="4">
        <f t="shared" si="561"/>
        <v>10996</v>
      </c>
      <c r="J555" s="13">
        <f>ROUND(VLOOKUP(D555,[1]物品容器!$T$3:$U$8,2,FALSE)*M555,0)</f>
        <v>3021</v>
      </c>
      <c r="K555" s="18">
        <f t="shared" si="562"/>
        <v>2749</v>
      </c>
      <c r="L555" s="18">
        <f t="shared" ref="L555:O555" si="606">ROUND($I555*L$2,0)</f>
        <v>6598</v>
      </c>
      <c r="M555" s="7">
        <v>1.0069</v>
      </c>
      <c r="N555" s="18">
        <f t="shared" si="606"/>
        <v>1649</v>
      </c>
      <c r="O555" s="18">
        <f t="shared" si="606"/>
        <v>164940</v>
      </c>
      <c r="P555" s="18">
        <f t="shared" si="564"/>
        <v>98.97</v>
      </c>
      <c r="Q555" s="18">
        <f t="shared" si="565"/>
        <v>548</v>
      </c>
      <c r="R555" s="42" t="s">
        <v>1143</v>
      </c>
      <c r="S555" s="4" t="e">
        <f t="shared" si="566"/>
        <v>#N/A</v>
      </c>
      <c r="W555" s="4"/>
      <c r="X555" s="4"/>
      <c r="AD555" s="4" t="s">
        <v>989</v>
      </c>
      <c r="AE555" s="4">
        <v>230050400</v>
      </c>
    </row>
    <row r="556" s="2" customFormat="1" spans="1:31">
      <c r="A556" s="4">
        <v>554</v>
      </c>
      <c r="B556" s="5" t="s">
        <v>1144</v>
      </c>
      <c r="C556" s="41" t="s">
        <v>1131</v>
      </c>
      <c r="D556" s="26" t="s">
        <v>94</v>
      </c>
      <c r="E556" s="4">
        <v>14</v>
      </c>
      <c r="F556" s="5">
        <v>2</v>
      </c>
      <c r="G556" s="5">
        <v>2</v>
      </c>
      <c r="H556" s="6">
        <f t="shared" si="560"/>
        <v>0.91</v>
      </c>
      <c r="I556" s="4">
        <f t="shared" si="561"/>
        <v>10865</v>
      </c>
      <c r="J556" s="13">
        <f>ROUND(VLOOKUP(D556,[1]物品容器!$T$3:$U$8,2,FALSE)*M556,0)</f>
        <v>2985</v>
      </c>
      <c r="K556" s="18">
        <f t="shared" si="562"/>
        <v>2716</v>
      </c>
      <c r="L556" s="18">
        <f t="shared" ref="L556:O556" si="607">ROUND($I556*L$2,0)</f>
        <v>6519</v>
      </c>
      <c r="M556" s="7">
        <v>0.9951</v>
      </c>
      <c r="N556" s="18">
        <f t="shared" si="607"/>
        <v>1630</v>
      </c>
      <c r="O556" s="18">
        <f t="shared" si="607"/>
        <v>162975</v>
      </c>
      <c r="P556" s="18">
        <f t="shared" si="564"/>
        <v>97.785</v>
      </c>
      <c r="Q556" s="18">
        <f t="shared" si="565"/>
        <v>541</v>
      </c>
      <c r="R556" s="42" t="s">
        <v>1144</v>
      </c>
      <c r="S556" s="4" t="e">
        <f t="shared" si="566"/>
        <v>#N/A</v>
      </c>
      <c r="W556" s="4"/>
      <c r="X556" s="4"/>
      <c r="AD556" s="4" t="s">
        <v>975</v>
      </c>
      <c r="AE556" s="4">
        <v>230050500</v>
      </c>
    </row>
    <row r="557" s="2" customFormat="1" spans="1:31">
      <c r="A557" s="4">
        <v>555</v>
      </c>
      <c r="B557" s="5" t="s">
        <v>1145</v>
      </c>
      <c r="C557" s="41" t="s">
        <v>1131</v>
      </c>
      <c r="D557" s="26" t="s">
        <v>94</v>
      </c>
      <c r="E557" s="4">
        <v>15</v>
      </c>
      <c r="F557" s="5">
        <v>2</v>
      </c>
      <c r="G557" s="5">
        <v>2</v>
      </c>
      <c r="H557" s="6">
        <f t="shared" si="560"/>
        <v>0.91</v>
      </c>
      <c r="I557" s="4">
        <f t="shared" si="561"/>
        <v>10905</v>
      </c>
      <c r="J557" s="13">
        <f>ROUND(VLOOKUP(D557,[1]物品容器!$T$3:$U$8,2,FALSE)*M557,0)</f>
        <v>2996</v>
      </c>
      <c r="K557" s="18">
        <f t="shared" si="562"/>
        <v>2726</v>
      </c>
      <c r="L557" s="18">
        <f t="shared" ref="L557:O557" si="608">ROUND($I557*L$2,0)</f>
        <v>6543</v>
      </c>
      <c r="M557" s="7">
        <v>0.9988</v>
      </c>
      <c r="N557" s="18">
        <f t="shared" si="608"/>
        <v>1636</v>
      </c>
      <c r="O557" s="18">
        <f t="shared" si="608"/>
        <v>163575</v>
      </c>
      <c r="P557" s="18">
        <f t="shared" si="564"/>
        <v>98.145</v>
      </c>
      <c r="Q557" s="18">
        <f t="shared" si="565"/>
        <v>543</v>
      </c>
      <c r="R557" s="42" t="s">
        <v>1145</v>
      </c>
      <c r="S557" s="4" t="e">
        <f t="shared" si="566"/>
        <v>#N/A</v>
      </c>
      <c r="W557" s="4"/>
      <c r="X557" s="4"/>
      <c r="AD557" s="4" t="s">
        <v>1022</v>
      </c>
      <c r="AE557" s="4">
        <v>230060000</v>
      </c>
    </row>
    <row r="558" s="2" customFormat="1" spans="1:31">
      <c r="A558" s="4">
        <v>556</v>
      </c>
      <c r="B558" s="5" t="s">
        <v>1146</v>
      </c>
      <c r="C558" s="41" t="s">
        <v>1131</v>
      </c>
      <c r="D558" s="27" t="s">
        <v>116</v>
      </c>
      <c r="E558" s="4">
        <v>16</v>
      </c>
      <c r="F558" s="5">
        <v>2</v>
      </c>
      <c r="G558" s="5">
        <v>2</v>
      </c>
      <c r="H558" s="6">
        <f t="shared" si="560"/>
        <v>0.91</v>
      </c>
      <c r="I558" s="4">
        <f t="shared" si="561"/>
        <v>3658</v>
      </c>
      <c r="J558" s="13">
        <f>ROUND(VLOOKUP(D558,[1]物品容器!$T$3:$U$8,2,FALSE)*M558,0)</f>
        <v>1005</v>
      </c>
      <c r="K558" s="18">
        <f t="shared" si="562"/>
        <v>915</v>
      </c>
      <c r="L558" s="18">
        <f t="shared" ref="L558:O558" si="609">ROUND($I558*L$2,0)</f>
        <v>2195</v>
      </c>
      <c r="M558" s="7">
        <v>1.0046</v>
      </c>
      <c r="N558" s="18">
        <f t="shared" si="609"/>
        <v>549</v>
      </c>
      <c r="O558" s="18">
        <f t="shared" si="609"/>
        <v>54870</v>
      </c>
      <c r="P558" s="18">
        <f t="shared" si="564"/>
        <v>32.925</v>
      </c>
      <c r="Q558" s="18">
        <f t="shared" si="565"/>
        <v>182</v>
      </c>
      <c r="R558" s="42" t="s">
        <v>1146</v>
      </c>
      <c r="S558" s="4" t="e">
        <f t="shared" si="566"/>
        <v>#N/A</v>
      </c>
      <c r="W558" s="4"/>
      <c r="X558" s="4"/>
      <c r="AD558" s="4" t="s">
        <v>1014</v>
      </c>
      <c r="AE558" s="4">
        <v>230060100</v>
      </c>
    </row>
    <row r="559" s="2" customFormat="1" spans="1:31">
      <c r="A559" s="4">
        <v>557</v>
      </c>
      <c r="B559" s="5" t="s">
        <v>1147</v>
      </c>
      <c r="C559" s="41" t="s">
        <v>1131</v>
      </c>
      <c r="D559" s="27" t="s">
        <v>116</v>
      </c>
      <c r="E559" s="4">
        <v>17</v>
      </c>
      <c r="F559" s="5">
        <v>2</v>
      </c>
      <c r="G559" s="5">
        <v>2</v>
      </c>
      <c r="H559" s="6">
        <f t="shared" si="560"/>
        <v>0.91</v>
      </c>
      <c r="I559" s="4">
        <f t="shared" si="561"/>
        <v>3625</v>
      </c>
      <c r="J559" s="13">
        <f>ROUND(VLOOKUP(D559,[1]物品容器!$T$3:$U$8,2,FALSE)*M559,0)</f>
        <v>996</v>
      </c>
      <c r="K559" s="18">
        <f t="shared" si="562"/>
        <v>906</v>
      </c>
      <c r="L559" s="18">
        <f t="shared" ref="L559:O559" si="610">ROUND($I559*L$2,0)</f>
        <v>2175</v>
      </c>
      <c r="M559" s="7">
        <v>0.9961</v>
      </c>
      <c r="N559" s="18">
        <f t="shared" si="610"/>
        <v>544</v>
      </c>
      <c r="O559" s="18">
        <f t="shared" si="610"/>
        <v>54375</v>
      </c>
      <c r="P559" s="18">
        <f t="shared" si="564"/>
        <v>32.625</v>
      </c>
      <c r="Q559" s="18">
        <f t="shared" si="565"/>
        <v>181</v>
      </c>
      <c r="R559" s="42" t="s">
        <v>1147</v>
      </c>
      <c r="S559" s="4" t="e">
        <f t="shared" si="566"/>
        <v>#N/A</v>
      </c>
      <c r="W559" s="4"/>
      <c r="X559" s="4"/>
      <c r="AD559" s="4" t="s">
        <v>1006</v>
      </c>
      <c r="AE559" s="4">
        <v>230060200</v>
      </c>
    </row>
    <row r="560" s="2" customFormat="1" spans="1:31">
      <c r="A560" s="4">
        <v>558</v>
      </c>
      <c r="B560" s="5" t="s">
        <v>1148</v>
      </c>
      <c r="C560" s="41" t="s">
        <v>1131</v>
      </c>
      <c r="D560" s="27" t="s">
        <v>116</v>
      </c>
      <c r="E560" s="4">
        <v>18</v>
      </c>
      <c r="F560" s="5">
        <v>2</v>
      </c>
      <c r="G560" s="5">
        <v>2</v>
      </c>
      <c r="H560" s="6">
        <f t="shared" si="560"/>
        <v>0.91</v>
      </c>
      <c r="I560" s="4">
        <f t="shared" si="561"/>
        <v>3636</v>
      </c>
      <c r="J560" s="13">
        <f>ROUND(VLOOKUP(D560,[1]物品容器!$T$3:$U$8,2,FALSE)*M560,0)</f>
        <v>999</v>
      </c>
      <c r="K560" s="18">
        <f t="shared" si="562"/>
        <v>909</v>
      </c>
      <c r="L560" s="18">
        <f t="shared" ref="L560:O560" si="611">ROUND($I560*L$2,0)</f>
        <v>2182</v>
      </c>
      <c r="M560" s="7">
        <v>0.9986</v>
      </c>
      <c r="N560" s="18">
        <f t="shared" si="611"/>
        <v>545</v>
      </c>
      <c r="O560" s="18">
        <f t="shared" si="611"/>
        <v>54540</v>
      </c>
      <c r="P560" s="18">
        <f t="shared" si="564"/>
        <v>32.73</v>
      </c>
      <c r="Q560" s="18">
        <f t="shared" si="565"/>
        <v>181</v>
      </c>
      <c r="R560" s="42" t="s">
        <v>1148</v>
      </c>
      <c r="S560" s="4" t="e">
        <f t="shared" si="566"/>
        <v>#N/A</v>
      </c>
      <c r="W560" s="4"/>
      <c r="X560" s="4"/>
      <c r="AD560" s="4" t="s">
        <v>999</v>
      </c>
      <c r="AE560" s="4">
        <v>230060300</v>
      </c>
    </row>
    <row r="561" s="2" customFormat="1" spans="1:31">
      <c r="A561" s="4">
        <v>559</v>
      </c>
      <c r="B561" s="5" t="s">
        <v>1149</v>
      </c>
      <c r="C561" s="41" t="s">
        <v>1131</v>
      </c>
      <c r="D561" s="17" t="s">
        <v>26</v>
      </c>
      <c r="E561" s="4">
        <v>1</v>
      </c>
      <c r="F561" s="5">
        <v>3</v>
      </c>
      <c r="G561" s="5">
        <v>4</v>
      </c>
      <c r="H561" s="6">
        <f t="shared" si="560"/>
        <v>0.7</v>
      </c>
      <c r="I561" s="4">
        <f t="shared" si="561"/>
        <v>1268064</v>
      </c>
      <c r="J561" s="22">
        <f>ROUND(VLOOKUP(D561,[1]物品容器!$T$3:$U$8,2,FALSE)*M561,0)*0.5</f>
        <v>150960</v>
      </c>
      <c r="K561" s="18">
        <f t="shared" si="562"/>
        <v>105672</v>
      </c>
      <c r="L561" s="18">
        <f t="shared" ref="L561:O561" si="612">ROUND($I561*L$2,0)</f>
        <v>760838</v>
      </c>
      <c r="M561" s="7">
        <v>1.0064</v>
      </c>
      <c r="N561" s="18">
        <f t="shared" si="612"/>
        <v>190210</v>
      </c>
      <c r="O561" s="18">
        <f t="shared" si="612"/>
        <v>19020960</v>
      </c>
      <c r="P561" s="18">
        <f t="shared" si="564"/>
        <v>11412.57</v>
      </c>
      <c r="Q561" s="18">
        <f t="shared" si="565"/>
        <v>63186</v>
      </c>
      <c r="R561" s="42" t="s">
        <v>1149</v>
      </c>
      <c r="S561" s="4">
        <f t="shared" si="566"/>
        <v>232000010</v>
      </c>
      <c r="W561" s="4"/>
      <c r="X561" s="4"/>
      <c r="AD561" s="4" t="s">
        <v>991</v>
      </c>
      <c r="AE561" s="4">
        <v>230060400</v>
      </c>
    </row>
    <row r="562" s="2" customFormat="1" spans="1:31">
      <c r="A562" s="4">
        <v>560</v>
      </c>
      <c r="B562" s="5" t="s">
        <v>1150</v>
      </c>
      <c r="C562" s="41" t="s">
        <v>1131</v>
      </c>
      <c r="D562" s="17" t="s">
        <v>26</v>
      </c>
      <c r="E562" s="4">
        <v>2</v>
      </c>
      <c r="F562" s="5">
        <v>3</v>
      </c>
      <c r="G562" s="5">
        <v>4</v>
      </c>
      <c r="H562" s="6">
        <f t="shared" si="560"/>
        <v>0.7</v>
      </c>
      <c r="I562" s="4">
        <f t="shared" si="561"/>
        <v>1263528</v>
      </c>
      <c r="J562" s="22">
        <f>ROUND(VLOOKUP(D562,[1]物品容器!$T$3:$U$8,2,FALSE)*M562,0)*0.5</f>
        <v>150420</v>
      </c>
      <c r="K562" s="18">
        <f t="shared" si="562"/>
        <v>105294</v>
      </c>
      <c r="L562" s="18">
        <f t="shared" ref="L562:O562" si="613">ROUND($I562*L$2,0)</f>
        <v>758117</v>
      </c>
      <c r="M562" s="7">
        <v>1.0028</v>
      </c>
      <c r="N562" s="18">
        <f t="shared" si="613"/>
        <v>189529</v>
      </c>
      <c r="O562" s="18">
        <f t="shared" si="613"/>
        <v>18952920</v>
      </c>
      <c r="P562" s="18">
        <f t="shared" si="564"/>
        <v>11371.755</v>
      </c>
      <c r="Q562" s="18">
        <f t="shared" si="565"/>
        <v>62960</v>
      </c>
      <c r="R562" s="42" t="s">
        <v>1150</v>
      </c>
      <c r="S562" s="4">
        <f t="shared" si="566"/>
        <v>232000011</v>
      </c>
      <c r="W562" s="4"/>
      <c r="X562" s="4"/>
      <c r="AD562" s="4" t="s">
        <v>977</v>
      </c>
      <c r="AE562" s="4">
        <v>230060500</v>
      </c>
    </row>
    <row r="563" s="2" customFormat="1" spans="1:31">
      <c r="A563" s="4">
        <v>561</v>
      </c>
      <c r="B563" s="5" t="s">
        <v>1151</v>
      </c>
      <c r="C563" s="41" t="s">
        <v>1131</v>
      </c>
      <c r="D563" s="17" t="s">
        <v>26</v>
      </c>
      <c r="E563" s="4">
        <v>3</v>
      </c>
      <c r="F563" s="5">
        <v>3</v>
      </c>
      <c r="G563" s="5">
        <v>4</v>
      </c>
      <c r="H563" s="6">
        <f t="shared" si="560"/>
        <v>0.7</v>
      </c>
      <c r="I563" s="4">
        <f t="shared" si="561"/>
        <v>1250550</v>
      </c>
      <c r="J563" s="22">
        <f>ROUND(VLOOKUP(D563,[1]物品容器!$T$3:$U$8,2,FALSE)*M563,0)*0.5</f>
        <v>148875</v>
      </c>
      <c r="K563" s="18">
        <f t="shared" si="562"/>
        <v>104213</v>
      </c>
      <c r="L563" s="18">
        <f t="shared" ref="L563:O563" si="614">ROUND($I563*L$2,0)</f>
        <v>750330</v>
      </c>
      <c r="M563" s="7">
        <v>0.9925</v>
      </c>
      <c r="N563" s="18">
        <f t="shared" si="614"/>
        <v>187583</v>
      </c>
      <c r="O563" s="18">
        <f t="shared" si="614"/>
        <v>18758250</v>
      </c>
      <c r="P563" s="18">
        <f t="shared" si="564"/>
        <v>11254.95</v>
      </c>
      <c r="Q563" s="18">
        <f t="shared" si="565"/>
        <v>62313</v>
      </c>
      <c r="R563" s="42" t="s">
        <v>1151</v>
      </c>
      <c r="S563" s="4">
        <f t="shared" si="566"/>
        <v>232000012</v>
      </c>
      <c r="W563" s="4"/>
      <c r="X563" s="4"/>
      <c r="AD563" s="4" t="s">
        <v>1019</v>
      </c>
      <c r="AE563" s="4">
        <v>230070000</v>
      </c>
    </row>
    <row r="564" s="2" customFormat="1" spans="1:31">
      <c r="A564" s="4">
        <v>562</v>
      </c>
      <c r="B564" s="5" t="s">
        <v>1152</v>
      </c>
      <c r="C564" s="41" t="s">
        <v>1131</v>
      </c>
      <c r="D564" s="22" t="s">
        <v>41</v>
      </c>
      <c r="E564" s="4">
        <v>4</v>
      </c>
      <c r="F564" s="5">
        <v>3</v>
      </c>
      <c r="G564" s="5">
        <v>4</v>
      </c>
      <c r="H564" s="6">
        <f t="shared" si="560"/>
        <v>0.7</v>
      </c>
      <c r="I564" s="4">
        <f t="shared" si="561"/>
        <v>421932</v>
      </c>
      <c r="J564" s="22">
        <f>ROUND(VLOOKUP(D564,[1]物品容器!$T$3:$U$8,2,FALSE)*M564,0)*0.5</f>
        <v>50230</v>
      </c>
      <c r="K564" s="18">
        <f t="shared" si="562"/>
        <v>35161</v>
      </c>
      <c r="L564" s="18">
        <f t="shared" ref="L564:O564" si="615">ROUND($I564*L$2,0)</f>
        <v>253159</v>
      </c>
      <c r="M564" s="7">
        <v>1.0046</v>
      </c>
      <c r="N564" s="18">
        <f t="shared" si="615"/>
        <v>63290</v>
      </c>
      <c r="O564" s="18">
        <f t="shared" si="615"/>
        <v>6328980</v>
      </c>
      <c r="P564" s="18">
        <f t="shared" si="564"/>
        <v>3797.385</v>
      </c>
      <c r="Q564" s="18">
        <f t="shared" si="565"/>
        <v>21024</v>
      </c>
      <c r="R564" s="42" t="s">
        <v>1152</v>
      </c>
      <c r="S564" s="4">
        <f t="shared" si="566"/>
        <v>232000007</v>
      </c>
      <c r="W564" s="4"/>
      <c r="X564" s="4"/>
      <c r="AD564" s="4" t="s">
        <v>1011</v>
      </c>
      <c r="AE564" s="4">
        <v>230070100</v>
      </c>
    </row>
    <row r="565" s="2" customFormat="1" spans="1:31">
      <c r="A565" s="4">
        <v>563</v>
      </c>
      <c r="B565" s="5" t="s">
        <v>1153</v>
      </c>
      <c r="C565" s="41" t="s">
        <v>1131</v>
      </c>
      <c r="D565" s="22" t="s">
        <v>41</v>
      </c>
      <c r="E565" s="4">
        <v>5</v>
      </c>
      <c r="F565" s="5">
        <v>3</v>
      </c>
      <c r="G565" s="5">
        <v>4</v>
      </c>
      <c r="H565" s="6">
        <f t="shared" si="560"/>
        <v>0.7</v>
      </c>
      <c r="I565" s="4">
        <f t="shared" si="561"/>
        <v>419076</v>
      </c>
      <c r="J565" s="22">
        <f>ROUND(VLOOKUP(D565,[1]物品容器!$T$3:$U$8,2,FALSE)*M565,0)*0.5</f>
        <v>49890</v>
      </c>
      <c r="K565" s="18">
        <f t="shared" si="562"/>
        <v>34923</v>
      </c>
      <c r="L565" s="18">
        <f t="shared" ref="L565:O565" si="616">ROUND($I565*L$2,0)</f>
        <v>251446</v>
      </c>
      <c r="M565" s="7">
        <v>0.9978</v>
      </c>
      <c r="N565" s="18">
        <f t="shared" si="616"/>
        <v>62861</v>
      </c>
      <c r="O565" s="18">
        <f t="shared" si="616"/>
        <v>6286140</v>
      </c>
      <c r="P565" s="18">
        <f t="shared" si="564"/>
        <v>3771.69</v>
      </c>
      <c r="Q565" s="18">
        <f t="shared" si="565"/>
        <v>20882</v>
      </c>
      <c r="R565" s="42" t="s">
        <v>1153</v>
      </c>
      <c r="S565" s="4">
        <f t="shared" si="566"/>
        <v>232000008</v>
      </c>
      <c r="W565" s="4"/>
      <c r="X565" s="4"/>
      <c r="AD565" s="4" t="s">
        <v>1003</v>
      </c>
      <c r="AE565" s="4">
        <v>230070200</v>
      </c>
    </row>
    <row r="566" s="2" customFormat="1" spans="1:31">
      <c r="A566" s="4">
        <v>564</v>
      </c>
      <c r="B566" s="5" t="s">
        <v>1154</v>
      </c>
      <c r="C566" s="41" t="s">
        <v>1131</v>
      </c>
      <c r="D566" s="22" t="s">
        <v>41</v>
      </c>
      <c r="E566" s="4">
        <v>6</v>
      </c>
      <c r="F566" s="5">
        <v>3</v>
      </c>
      <c r="G566" s="5">
        <v>4</v>
      </c>
      <c r="H566" s="6">
        <f t="shared" si="560"/>
        <v>0.7</v>
      </c>
      <c r="I566" s="4">
        <f t="shared" si="561"/>
        <v>419328</v>
      </c>
      <c r="J566" s="22">
        <f>ROUND(VLOOKUP(D566,[1]物品容器!$T$3:$U$8,2,FALSE)*M566,0)*0.5</f>
        <v>49920</v>
      </c>
      <c r="K566" s="18">
        <f t="shared" si="562"/>
        <v>34944</v>
      </c>
      <c r="L566" s="18">
        <f t="shared" ref="L566:O566" si="617">ROUND($I566*L$2,0)</f>
        <v>251597</v>
      </c>
      <c r="M566" s="7">
        <v>0.9984</v>
      </c>
      <c r="N566" s="18">
        <f t="shared" si="617"/>
        <v>62899</v>
      </c>
      <c r="O566" s="18">
        <f t="shared" si="617"/>
        <v>6289920</v>
      </c>
      <c r="P566" s="18">
        <f t="shared" si="564"/>
        <v>3773.955</v>
      </c>
      <c r="Q566" s="18">
        <f t="shared" si="565"/>
        <v>20895</v>
      </c>
      <c r="R566" s="42" t="s">
        <v>1154</v>
      </c>
      <c r="S566" s="4">
        <f t="shared" si="566"/>
        <v>232000009</v>
      </c>
      <c r="W566" s="4"/>
      <c r="X566" s="4"/>
      <c r="AD566" s="4" t="s">
        <v>996</v>
      </c>
      <c r="AE566" s="4">
        <v>230070300</v>
      </c>
    </row>
    <row r="567" s="2" customFormat="1" spans="1:31">
      <c r="A567" s="4">
        <v>565</v>
      </c>
      <c r="B567" s="5" t="s">
        <v>1155</v>
      </c>
      <c r="C567" s="41" t="s">
        <v>1131</v>
      </c>
      <c r="D567" s="24" t="s">
        <v>63</v>
      </c>
      <c r="E567" s="4">
        <v>7</v>
      </c>
      <c r="F567" s="5">
        <v>3</v>
      </c>
      <c r="G567" s="5">
        <v>4</v>
      </c>
      <c r="H567" s="6">
        <f t="shared" si="560"/>
        <v>0.7</v>
      </c>
      <c r="I567" s="4">
        <f t="shared" si="561"/>
        <v>126794</v>
      </c>
      <c r="J567" s="22">
        <f>ROUND(VLOOKUP(D567,[1]物品容器!$T$3:$U$8,2,FALSE)*M567,0)*0.5</f>
        <v>15094.5</v>
      </c>
      <c r="K567" s="18">
        <f t="shared" si="562"/>
        <v>10566</v>
      </c>
      <c r="L567" s="18">
        <f t="shared" ref="L567:O567" si="618">ROUND($I567*L$2,0)</f>
        <v>76076</v>
      </c>
      <c r="M567" s="7">
        <v>1.0063</v>
      </c>
      <c r="N567" s="18">
        <f t="shared" si="618"/>
        <v>19019</v>
      </c>
      <c r="O567" s="18">
        <f t="shared" si="618"/>
        <v>1901910</v>
      </c>
      <c r="P567" s="18">
        <f t="shared" si="564"/>
        <v>1141.14</v>
      </c>
      <c r="Q567" s="18">
        <f t="shared" si="565"/>
        <v>6318</v>
      </c>
      <c r="R567" s="42" t="s">
        <v>1155</v>
      </c>
      <c r="S567" s="4">
        <f t="shared" si="566"/>
        <v>232000004</v>
      </c>
      <c r="W567" s="4"/>
      <c r="X567" s="4"/>
      <c r="AD567" s="4" t="s">
        <v>985</v>
      </c>
      <c r="AE567" s="4">
        <v>230070400</v>
      </c>
    </row>
    <row r="568" s="2" customFormat="1" spans="1:31">
      <c r="A568" s="4">
        <v>566</v>
      </c>
      <c r="B568" s="5" t="s">
        <v>1156</v>
      </c>
      <c r="C568" s="41" t="s">
        <v>1131</v>
      </c>
      <c r="D568" s="24" t="s">
        <v>63</v>
      </c>
      <c r="E568" s="4">
        <v>8</v>
      </c>
      <c r="F568" s="5">
        <v>3</v>
      </c>
      <c r="G568" s="5">
        <v>4</v>
      </c>
      <c r="H568" s="6">
        <f t="shared" si="560"/>
        <v>0.7</v>
      </c>
      <c r="I568" s="4">
        <f t="shared" si="561"/>
        <v>125572</v>
      </c>
      <c r="J568" s="22">
        <f>ROUND(VLOOKUP(D568,[1]物品容器!$T$3:$U$8,2,FALSE)*M568,0)*0.5</f>
        <v>14949</v>
      </c>
      <c r="K568" s="18">
        <f t="shared" si="562"/>
        <v>10464</v>
      </c>
      <c r="L568" s="18">
        <f t="shared" ref="L568:O568" si="619">ROUND($I568*L$2,0)</f>
        <v>75343</v>
      </c>
      <c r="M568" s="7">
        <v>0.9966</v>
      </c>
      <c r="N568" s="18">
        <f t="shared" si="619"/>
        <v>18836</v>
      </c>
      <c r="O568" s="18">
        <f t="shared" si="619"/>
        <v>1883580</v>
      </c>
      <c r="P568" s="18">
        <f t="shared" si="564"/>
        <v>1130.145</v>
      </c>
      <c r="Q568" s="18">
        <f t="shared" si="565"/>
        <v>6257</v>
      </c>
      <c r="R568" s="42" t="s">
        <v>1156</v>
      </c>
      <c r="S568" s="4">
        <f t="shared" si="566"/>
        <v>232000005</v>
      </c>
      <c r="W568" s="4"/>
      <c r="X568" s="4"/>
      <c r="AD568" s="4" t="s">
        <v>971</v>
      </c>
      <c r="AE568" s="4">
        <v>230070500</v>
      </c>
    </row>
    <row r="569" s="2" customFormat="1" spans="1:31">
      <c r="A569" s="4">
        <v>567</v>
      </c>
      <c r="B569" s="5" t="s">
        <v>1157</v>
      </c>
      <c r="C569" s="41" t="s">
        <v>1131</v>
      </c>
      <c r="D569" s="24" t="s">
        <v>63</v>
      </c>
      <c r="E569" s="4">
        <v>9</v>
      </c>
      <c r="F569" s="5">
        <v>3</v>
      </c>
      <c r="G569" s="5">
        <v>4</v>
      </c>
      <c r="H569" s="6">
        <f t="shared" si="560"/>
        <v>0.7</v>
      </c>
      <c r="I569" s="4">
        <f t="shared" si="561"/>
        <v>127109</v>
      </c>
      <c r="J569" s="22">
        <f>ROUND(VLOOKUP(D569,[1]物品容器!$T$3:$U$8,2,FALSE)*M569,0)*0.5</f>
        <v>15132</v>
      </c>
      <c r="K569" s="18">
        <f t="shared" si="562"/>
        <v>10592</v>
      </c>
      <c r="L569" s="18">
        <f t="shared" ref="L569:O569" si="620">ROUND($I569*L$2,0)</f>
        <v>76265</v>
      </c>
      <c r="M569" s="7">
        <v>1.0088</v>
      </c>
      <c r="N569" s="18">
        <f t="shared" si="620"/>
        <v>19066</v>
      </c>
      <c r="O569" s="18">
        <f t="shared" si="620"/>
        <v>1906635</v>
      </c>
      <c r="P569" s="18">
        <f t="shared" si="564"/>
        <v>1143.975</v>
      </c>
      <c r="Q569" s="18">
        <f t="shared" si="565"/>
        <v>6334</v>
      </c>
      <c r="R569" s="42" t="s">
        <v>1157</v>
      </c>
      <c r="S569" s="4">
        <f t="shared" si="566"/>
        <v>232000006</v>
      </c>
      <c r="W569" s="4"/>
      <c r="X569" s="4"/>
      <c r="AD569" s="4" t="s">
        <v>1158</v>
      </c>
      <c r="AE569" s="4">
        <v>231000001</v>
      </c>
    </row>
    <row r="570" s="2" customFormat="1" spans="1:31">
      <c r="A570" s="4">
        <v>568</v>
      </c>
      <c r="B570" s="5" t="s">
        <v>1159</v>
      </c>
      <c r="C570" s="41" t="s">
        <v>1131</v>
      </c>
      <c r="D570" s="25" t="s">
        <v>76</v>
      </c>
      <c r="E570" s="4">
        <v>10</v>
      </c>
      <c r="F570" s="5">
        <v>3</v>
      </c>
      <c r="G570" s="5">
        <v>3</v>
      </c>
      <c r="H570" s="6">
        <f t="shared" si="560"/>
        <v>0.8</v>
      </c>
      <c r="I570" s="4">
        <f t="shared" si="561"/>
        <v>36338</v>
      </c>
      <c r="J570" s="22">
        <f>ROUND(VLOOKUP(D570,[1]物品容器!$T$3:$U$8,2,FALSE)*M570,0)*0.5</f>
        <v>5047</v>
      </c>
      <c r="K570" s="18">
        <f t="shared" si="562"/>
        <v>4038</v>
      </c>
      <c r="L570" s="18">
        <f t="shared" ref="L570:O570" si="621">ROUND($I570*L$2,0)</f>
        <v>21803</v>
      </c>
      <c r="M570" s="7">
        <v>1.0094</v>
      </c>
      <c r="N570" s="18">
        <f t="shared" si="621"/>
        <v>5451</v>
      </c>
      <c r="O570" s="18">
        <f t="shared" si="621"/>
        <v>545070</v>
      </c>
      <c r="P570" s="18">
        <f t="shared" si="564"/>
        <v>327.045</v>
      </c>
      <c r="Q570" s="18">
        <f t="shared" si="565"/>
        <v>1811</v>
      </c>
      <c r="R570" s="42" t="s">
        <v>1159</v>
      </c>
      <c r="S570" s="4" t="e">
        <f t="shared" si="566"/>
        <v>#N/A</v>
      </c>
      <c r="W570" s="4"/>
      <c r="X570" s="4"/>
      <c r="AD570" s="4" t="s">
        <v>1160</v>
      </c>
      <c r="AE570" s="4">
        <v>231000002</v>
      </c>
    </row>
    <row r="571" s="2" customFormat="1" spans="1:31">
      <c r="A571" s="4">
        <v>569</v>
      </c>
      <c r="B571" s="5" t="s">
        <v>1161</v>
      </c>
      <c r="C571" s="41" t="s">
        <v>1131</v>
      </c>
      <c r="D571" s="25" t="s">
        <v>76</v>
      </c>
      <c r="E571" s="4">
        <v>11</v>
      </c>
      <c r="F571" s="5">
        <v>3</v>
      </c>
      <c r="G571" s="5">
        <v>3</v>
      </c>
      <c r="H571" s="6">
        <f t="shared" si="560"/>
        <v>0.8</v>
      </c>
      <c r="I571" s="4">
        <f t="shared" si="561"/>
        <v>36274</v>
      </c>
      <c r="J571" s="22">
        <f>ROUND(VLOOKUP(D571,[1]物品容器!$T$3:$U$8,2,FALSE)*M571,0)*0.5</f>
        <v>5038</v>
      </c>
      <c r="K571" s="18">
        <f t="shared" si="562"/>
        <v>4030</v>
      </c>
      <c r="L571" s="18">
        <f t="shared" ref="L571:O571" si="622">ROUND($I571*L$2,0)</f>
        <v>21764</v>
      </c>
      <c r="M571" s="7">
        <v>1.0076</v>
      </c>
      <c r="N571" s="18">
        <f t="shared" si="622"/>
        <v>5441</v>
      </c>
      <c r="O571" s="18">
        <f t="shared" si="622"/>
        <v>544110</v>
      </c>
      <c r="P571" s="18">
        <f t="shared" si="564"/>
        <v>326.46</v>
      </c>
      <c r="Q571" s="18">
        <f t="shared" si="565"/>
        <v>1807</v>
      </c>
      <c r="R571" s="42" t="s">
        <v>1161</v>
      </c>
      <c r="S571" s="4" t="e">
        <f t="shared" si="566"/>
        <v>#N/A</v>
      </c>
      <c r="W571" s="4"/>
      <c r="X571" s="4"/>
      <c r="AD571" s="4" t="s">
        <v>1162</v>
      </c>
      <c r="AE571" s="4">
        <v>231000003</v>
      </c>
    </row>
    <row r="572" s="2" customFormat="1" spans="1:31">
      <c r="A572" s="4">
        <v>570</v>
      </c>
      <c r="B572" s="5" t="s">
        <v>1163</v>
      </c>
      <c r="C572" s="41" t="s">
        <v>1131</v>
      </c>
      <c r="D572" s="25" t="s">
        <v>76</v>
      </c>
      <c r="E572" s="4">
        <v>12</v>
      </c>
      <c r="F572" s="5">
        <v>3</v>
      </c>
      <c r="G572" s="5">
        <v>3</v>
      </c>
      <c r="H572" s="6">
        <f t="shared" si="560"/>
        <v>0.8</v>
      </c>
      <c r="I572" s="4">
        <f t="shared" si="561"/>
        <v>35730</v>
      </c>
      <c r="J572" s="22">
        <f>ROUND(VLOOKUP(D572,[1]物品容器!$T$3:$U$8,2,FALSE)*M572,0)*0.5</f>
        <v>4962.5</v>
      </c>
      <c r="K572" s="18">
        <f t="shared" si="562"/>
        <v>3970</v>
      </c>
      <c r="L572" s="18">
        <f t="shared" ref="L572:O572" si="623">ROUND($I572*L$2,0)</f>
        <v>21438</v>
      </c>
      <c r="M572" s="7">
        <v>0.9925</v>
      </c>
      <c r="N572" s="18">
        <f t="shared" si="623"/>
        <v>5360</v>
      </c>
      <c r="O572" s="18">
        <f t="shared" si="623"/>
        <v>535950</v>
      </c>
      <c r="P572" s="18">
        <f t="shared" si="564"/>
        <v>321.57</v>
      </c>
      <c r="Q572" s="18">
        <f t="shared" si="565"/>
        <v>1780</v>
      </c>
      <c r="R572" s="42" t="s">
        <v>1163</v>
      </c>
      <c r="S572" s="4" t="e">
        <f t="shared" si="566"/>
        <v>#N/A</v>
      </c>
      <c r="W572" s="4"/>
      <c r="X572" s="4"/>
      <c r="AD572" s="4" t="s">
        <v>1164</v>
      </c>
      <c r="AE572" s="4">
        <v>231000004</v>
      </c>
    </row>
    <row r="573" s="2" customFormat="1" spans="1:31">
      <c r="A573" s="4">
        <v>571</v>
      </c>
      <c r="B573" s="5" t="s">
        <v>1165</v>
      </c>
      <c r="C573" s="41" t="s">
        <v>1131</v>
      </c>
      <c r="D573" s="26" t="s">
        <v>94</v>
      </c>
      <c r="E573" s="4">
        <v>13</v>
      </c>
      <c r="F573" s="5">
        <v>3</v>
      </c>
      <c r="G573" s="5">
        <v>3</v>
      </c>
      <c r="H573" s="6">
        <f t="shared" si="560"/>
        <v>0.8</v>
      </c>
      <c r="I573" s="4">
        <f t="shared" si="561"/>
        <v>21802</v>
      </c>
      <c r="J573" s="13">
        <f>ROUND(VLOOKUP(D573,[1]物品容器!$T$3:$U$8,2,FALSE)*M573,0)</f>
        <v>3028</v>
      </c>
      <c r="K573" s="18">
        <f t="shared" si="562"/>
        <v>2422</v>
      </c>
      <c r="L573" s="18">
        <f t="shared" ref="L573:O573" si="624">ROUND($I573*L$2,0)</f>
        <v>13081</v>
      </c>
      <c r="M573" s="7">
        <v>1.0092</v>
      </c>
      <c r="N573" s="18">
        <f t="shared" si="624"/>
        <v>3270</v>
      </c>
      <c r="O573" s="18">
        <f t="shared" si="624"/>
        <v>327030</v>
      </c>
      <c r="P573" s="18">
        <f t="shared" si="564"/>
        <v>196.215</v>
      </c>
      <c r="Q573" s="18">
        <f t="shared" si="565"/>
        <v>1086</v>
      </c>
      <c r="R573" s="42" t="s">
        <v>1165</v>
      </c>
      <c r="S573" s="4" t="e">
        <f t="shared" si="566"/>
        <v>#N/A</v>
      </c>
      <c r="W573" s="4"/>
      <c r="X573" s="4"/>
      <c r="AD573" s="4" t="s">
        <v>1166</v>
      </c>
      <c r="AE573" s="4">
        <v>231000005</v>
      </c>
    </row>
    <row r="574" s="2" customFormat="1" spans="1:31">
      <c r="A574" s="4">
        <v>572</v>
      </c>
      <c r="B574" s="5" t="s">
        <v>1167</v>
      </c>
      <c r="C574" s="41" t="s">
        <v>1131</v>
      </c>
      <c r="D574" s="26" t="s">
        <v>94</v>
      </c>
      <c r="E574" s="4">
        <v>14</v>
      </c>
      <c r="F574" s="5">
        <v>3</v>
      </c>
      <c r="G574" s="5">
        <v>3</v>
      </c>
      <c r="H574" s="6">
        <f t="shared" si="560"/>
        <v>0.8</v>
      </c>
      <c r="I574" s="4">
        <f t="shared" si="561"/>
        <v>21478</v>
      </c>
      <c r="J574" s="13">
        <f>ROUND(VLOOKUP(D574,[1]物品容器!$T$3:$U$8,2,FALSE)*M574,0)</f>
        <v>2983</v>
      </c>
      <c r="K574" s="18">
        <f t="shared" si="562"/>
        <v>2386</v>
      </c>
      <c r="L574" s="18">
        <f t="shared" ref="L574:O574" si="625">ROUND($I574*L$2,0)</f>
        <v>12887</v>
      </c>
      <c r="M574" s="7">
        <v>0.9942</v>
      </c>
      <c r="N574" s="18">
        <f t="shared" si="625"/>
        <v>3222</v>
      </c>
      <c r="O574" s="18">
        <f t="shared" si="625"/>
        <v>322170</v>
      </c>
      <c r="P574" s="18">
        <f t="shared" si="564"/>
        <v>193.305</v>
      </c>
      <c r="Q574" s="18">
        <f t="shared" si="565"/>
        <v>1070</v>
      </c>
      <c r="R574" s="42" t="s">
        <v>1167</v>
      </c>
      <c r="S574" s="4" t="e">
        <f t="shared" si="566"/>
        <v>#N/A</v>
      </c>
      <c r="W574" s="4"/>
      <c r="X574" s="4"/>
      <c r="AD574" s="4" t="s">
        <v>1168</v>
      </c>
      <c r="AE574" s="4">
        <v>231000006</v>
      </c>
    </row>
    <row r="575" s="2" customFormat="1" spans="1:31">
      <c r="A575" s="4">
        <v>573</v>
      </c>
      <c r="B575" s="5" t="s">
        <v>1169</v>
      </c>
      <c r="C575" s="41" t="s">
        <v>1131</v>
      </c>
      <c r="D575" s="26" t="s">
        <v>94</v>
      </c>
      <c r="E575" s="4">
        <v>15</v>
      </c>
      <c r="F575" s="5">
        <v>3</v>
      </c>
      <c r="G575" s="5">
        <v>3</v>
      </c>
      <c r="H575" s="6">
        <f t="shared" si="560"/>
        <v>0.8</v>
      </c>
      <c r="I575" s="4">
        <f t="shared" si="561"/>
        <v>21478</v>
      </c>
      <c r="J575" s="13">
        <f>ROUND(VLOOKUP(D575,[1]物品容器!$T$3:$U$8,2,FALSE)*M575,0)</f>
        <v>2983</v>
      </c>
      <c r="K575" s="18">
        <f t="shared" si="562"/>
        <v>2386</v>
      </c>
      <c r="L575" s="18">
        <f t="shared" ref="L575:O575" si="626">ROUND($I575*L$2,0)</f>
        <v>12887</v>
      </c>
      <c r="M575" s="7">
        <v>0.9944</v>
      </c>
      <c r="N575" s="18">
        <f t="shared" si="626"/>
        <v>3222</v>
      </c>
      <c r="O575" s="18">
        <f t="shared" si="626"/>
        <v>322170</v>
      </c>
      <c r="P575" s="18">
        <f t="shared" si="564"/>
        <v>193.305</v>
      </c>
      <c r="Q575" s="18">
        <f t="shared" si="565"/>
        <v>1070</v>
      </c>
      <c r="R575" s="42" t="s">
        <v>1169</v>
      </c>
      <c r="S575" s="4" t="e">
        <f t="shared" si="566"/>
        <v>#N/A</v>
      </c>
      <c r="W575" s="4"/>
      <c r="X575" s="4"/>
      <c r="AD575" s="4" t="s">
        <v>1170</v>
      </c>
      <c r="AE575" s="4">
        <v>231000007</v>
      </c>
    </row>
    <row r="576" s="2" customFormat="1" spans="1:31">
      <c r="A576" s="4">
        <v>574</v>
      </c>
      <c r="B576" s="5" t="s">
        <v>1171</v>
      </c>
      <c r="C576" s="41" t="s">
        <v>1131</v>
      </c>
      <c r="D576" s="27" t="s">
        <v>116</v>
      </c>
      <c r="E576" s="4">
        <v>16</v>
      </c>
      <c r="F576" s="5">
        <v>3</v>
      </c>
      <c r="G576" s="5">
        <v>3</v>
      </c>
      <c r="H576" s="6">
        <f t="shared" si="560"/>
        <v>0.8</v>
      </c>
      <c r="I576" s="4">
        <f t="shared" si="561"/>
        <v>7243</v>
      </c>
      <c r="J576" s="13">
        <f>ROUND(VLOOKUP(D576,[1]物品容器!$T$3:$U$8,2,FALSE)*M576,0)</f>
        <v>1006</v>
      </c>
      <c r="K576" s="18">
        <f t="shared" si="562"/>
        <v>805</v>
      </c>
      <c r="L576" s="18">
        <f t="shared" ref="L576:O576" si="627">ROUND($I576*L$2,0)</f>
        <v>4346</v>
      </c>
      <c r="M576" s="7">
        <v>1.0061</v>
      </c>
      <c r="N576" s="18">
        <f t="shared" si="627"/>
        <v>1086</v>
      </c>
      <c r="O576" s="18">
        <f t="shared" si="627"/>
        <v>108645</v>
      </c>
      <c r="P576" s="18">
        <f t="shared" si="564"/>
        <v>65.19</v>
      </c>
      <c r="Q576" s="18">
        <f t="shared" si="565"/>
        <v>361</v>
      </c>
      <c r="R576" s="42" t="s">
        <v>1171</v>
      </c>
      <c r="S576" s="4" t="e">
        <f t="shared" si="566"/>
        <v>#N/A</v>
      </c>
      <c r="W576" s="4"/>
      <c r="X576" s="4"/>
      <c r="AD576" s="4" t="s">
        <v>1172</v>
      </c>
      <c r="AE576" s="4">
        <v>231000008</v>
      </c>
    </row>
    <row r="577" s="2" customFormat="1" spans="1:31">
      <c r="A577" s="4">
        <v>575</v>
      </c>
      <c r="B577" s="5" t="s">
        <v>1173</v>
      </c>
      <c r="C577" s="41" t="s">
        <v>1131</v>
      </c>
      <c r="D577" s="27" t="s">
        <v>116</v>
      </c>
      <c r="E577" s="4">
        <v>17</v>
      </c>
      <c r="F577" s="5">
        <v>3</v>
      </c>
      <c r="G577" s="5">
        <v>3</v>
      </c>
      <c r="H577" s="6">
        <f t="shared" si="560"/>
        <v>0.8</v>
      </c>
      <c r="I577" s="4">
        <f t="shared" si="561"/>
        <v>7222</v>
      </c>
      <c r="J577" s="13">
        <f>ROUND(VLOOKUP(D577,[1]物品容器!$T$3:$U$8,2,FALSE)*M577,0)</f>
        <v>1003</v>
      </c>
      <c r="K577" s="18">
        <f t="shared" si="562"/>
        <v>802</v>
      </c>
      <c r="L577" s="18">
        <f t="shared" ref="L577:O577" si="628">ROUND($I577*L$2,0)</f>
        <v>4333</v>
      </c>
      <c r="M577" s="7">
        <v>1.0031</v>
      </c>
      <c r="N577" s="18">
        <f t="shared" si="628"/>
        <v>1083</v>
      </c>
      <c r="O577" s="18">
        <f t="shared" si="628"/>
        <v>108330</v>
      </c>
      <c r="P577" s="18">
        <f t="shared" si="564"/>
        <v>64.995</v>
      </c>
      <c r="Q577" s="18">
        <f t="shared" si="565"/>
        <v>360</v>
      </c>
      <c r="R577" s="42" t="s">
        <v>1173</v>
      </c>
      <c r="S577" s="4" t="e">
        <f t="shared" si="566"/>
        <v>#N/A</v>
      </c>
      <c r="W577" s="4"/>
      <c r="X577" s="4"/>
      <c r="AD577" s="4" t="s">
        <v>1174</v>
      </c>
      <c r="AE577" s="4">
        <v>231000009</v>
      </c>
    </row>
    <row r="578" s="2" customFormat="1" spans="1:31">
      <c r="A578" s="4">
        <v>576</v>
      </c>
      <c r="B578" s="5" t="s">
        <v>1175</v>
      </c>
      <c r="C578" s="41" t="s">
        <v>1131</v>
      </c>
      <c r="D578" s="27" t="s">
        <v>116</v>
      </c>
      <c r="E578" s="4">
        <v>18</v>
      </c>
      <c r="F578" s="5">
        <v>3</v>
      </c>
      <c r="G578" s="5">
        <v>3</v>
      </c>
      <c r="H578" s="6">
        <f t="shared" si="560"/>
        <v>0.8</v>
      </c>
      <c r="I578" s="4">
        <f t="shared" si="561"/>
        <v>7258</v>
      </c>
      <c r="J578" s="13">
        <f>ROUND(VLOOKUP(D578,[1]物品容器!$T$3:$U$8,2,FALSE)*M578,0)</f>
        <v>1008</v>
      </c>
      <c r="K578" s="18">
        <f t="shared" si="562"/>
        <v>806</v>
      </c>
      <c r="L578" s="18">
        <f t="shared" ref="L578:O578" si="629">ROUND($I578*L$2,0)</f>
        <v>4355</v>
      </c>
      <c r="M578" s="7">
        <v>1.0076</v>
      </c>
      <c r="N578" s="18">
        <f t="shared" si="629"/>
        <v>1089</v>
      </c>
      <c r="O578" s="18">
        <f t="shared" si="629"/>
        <v>108870</v>
      </c>
      <c r="P578" s="18">
        <f t="shared" si="564"/>
        <v>65.325</v>
      </c>
      <c r="Q578" s="18">
        <f t="shared" si="565"/>
        <v>362</v>
      </c>
      <c r="R578" s="42" t="s">
        <v>1175</v>
      </c>
      <c r="S578" s="4" t="e">
        <f t="shared" si="566"/>
        <v>#N/A</v>
      </c>
      <c r="W578" s="4"/>
      <c r="X578" s="4"/>
      <c r="AD578" s="4" t="s">
        <v>1176</v>
      </c>
      <c r="AE578" s="4">
        <v>231000010</v>
      </c>
    </row>
    <row r="579" s="2" customFormat="1" spans="1:31">
      <c r="A579" s="4">
        <v>577</v>
      </c>
      <c r="B579" s="5" t="s">
        <v>1176</v>
      </c>
      <c r="C579" s="41" t="s">
        <v>1131</v>
      </c>
      <c r="D579" s="17" t="s">
        <v>26</v>
      </c>
      <c r="E579" s="4">
        <v>1</v>
      </c>
      <c r="F579" s="5">
        <v>2</v>
      </c>
      <c r="G579" s="5">
        <v>2</v>
      </c>
      <c r="H579" s="6">
        <f t="shared" ref="H579:H642" si="630">VLOOKUP(F579*G579,$T$3:$U$11,2,FALSE)</f>
        <v>0.91</v>
      </c>
      <c r="I579" s="4">
        <f t="shared" ref="I579:I642" si="631">ROUND(F579*G579*J579*H579,0)</f>
        <v>542342</v>
      </c>
      <c r="J579" s="22">
        <f>ROUND(VLOOKUP(D579,[1]物品容器!$T$3:$U$8,2,FALSE)*M579,0)*0.5</f>
        <v>148995</v>
      </c>
      <c r="K579" s="18">
        <f t="shared" ref="K579:K642" si="632">ROUND(J579*H579,0)</f>
        <v>135585</v>
      </c>
      <c r="L579" s="18">
        <f t="shared" ref="L579:O579" si="633">ROUND($I579*L$2,0)</f>
        <v>325405</v>
      </c>
      <c r="M579" s="7">
        <v>0.9933</v>
      </c>
      <c r="N579" s="18">
        <f t="shared" si="633"/>
        <v>81351</v>
      </c>
      <c r="O579" s="18">
        <f t="shared" si="633"/>
        <v>8135130</v>
      </c>
      <c r="P579" s="18">
        <f t="shared" ref="P579:P642" si="634">L579*1.5%</f>
        <v>4881.075</v>
      </c>
      <c r="Q579" s="18">
        <f t="shared" ref="Q579:Q642" si="635">ROUND((O579-N579)*$Q$2,0)</f>
        <v>27024</v>
      </c>
      <c r="R579" s="42" t="s">
        <v>1176</v>
      </c>
      <c r="S579" s="4">
        <f t="shared" ref="S579:S642" si="636">VLOOKUP(B579,$AD:$AE,2,FALSE)</f>
        <v>231000010</v>
      </c>
      <c r="W579" s="4"/>
      <c r="X579" s="4"/>
      <c r="AD579" s="4" t="s">
        <v>1177</v>
      </c>
      <c r="AE579" s="4">
        <v>231000011</v>
      </c>
    </row>
    <row r="580" s="2" customFormat="1" spans="1:31">
      <c r="A580" s="4">
        <v>578</v>
      </c>
      <c r="B580" s="5" t="s">
        <v>1177</v>
      </c>
      <c r="C580" s="41" t="s">
        <v>1131</v>
      </c>
      <c r="D580" s="17" t="s">
        <v>26</v>
      </c>
      <c r="E580" s="4">
        <v>2</v>
      </c>
      <c r="F580" s="5">
        <v>2</v>
      </c>
      <c r="G580" s="5">
        <v>2</v>
      </c>
      <c r="H580" s="6">
        <f t="shared" si="630"/>
        <v>0.91</v>
      </c>
      <c r="I580" s="4">
        <f t="shared" si="631"/>
        <v>545072</v>
      </c>
      <c r="J580" s="22">
        <f>ROUND(VLOOKUP(D580,[1]物品容器!$T$3:$U$8,2,FALSE)*M580,0)*0.5</f>
        <v>149745</v>
      </c>
      <c r="K580" s="18">
        <f t="shared" si="632"/>
        <v>136268</v>
      </c>
      <c r="L580" s="18">
        <f t="shared" ref="L580:O580" si="637">ROUND($I580*L$2,0)</f>
        <v>327043</v>
      </c>
      <c r="M580" s="7">
        <v>0.9983</v>
      </c>
      <c r="N580" s="18">
        <f t="shared" si="637"/>
        <v>81761</v>
      </c>
      <c r="O580" s="18">
        <f t="shared" si="637"/>
        <v>8176080</v>
      </c>
      <c r="P580" s="18">
        <f t="shared" si="634"/>
        <v>4905.645</v>
      </c>
      <c r="Q580" s="18">
        <f t="shared" si="635"/>
        <v>27160</v>
      </c>
      <c r="R580" s="42" t="s">
        <v>1177</v>
      </c>
      <c r="S580" s="4">
        <f t="shared" si="636"/>
        <v>231000011</v>
      </c>
      <c r="W580" s="4"/>
      <c r="X580" s="4"/>
      <c r="AD580" s="4" t="s">
        <v>1178</v>
      </c>
      <c r="AE580" s="4">
        <v>231000012</v>
      </c>
    </row>
    <row r="581" s="2" customFormat="1" spans="1:31">
      <c r="A581" s="4">
        <v>579</v>
      </c>
      <c r="B581" s="5" t="s">
        <v>1178</v>
      </c>
      <c r="C581" s="41" t="s">
        <v>1131</v>
      </c>
      <c r="D581" s="17" t="s">
        <v>26</v>
      </c>
      <c r="E581" s="4">
        <v>3</v>
      </c>
      <c r="F581" s="5">
        <v>2</v>
      </c>
      <c r="G581" s="5">
        <v>2</v>
      </c>
      <c r="H581" s="6">
        <f t="shared" si="630"/>
        <v>0.91</v>
      </c>
      <c r="I581" s="4">
        <f t="shared" si="631"/>
        <v>543871</v>
      </c>
      <c r="J581" s="22">
        <f>ROUND(VLOOKUP(D581,[1]物品容器!$T$3:$U$8,2,FALSE)*M581,0)*0.5</f>
        <v>149415</v>
      </c>
      <c r="K581" s="18">
        <f t="shared" si="632"/>
        <v>135968</v>
      </c>
      <c r="L581" s="18">
        <f t="shared" ref="L581:O581" si="638">ROUND($I581*L$2,0)</f>
        <v>326323</v>
      </c>
      <c r="M581" s="7">
        <v>0.9961</v>
      </c>
      <c r="N581" s="18">
        <f t="shared" si="638"/>
        <v>81581</v>
      </c>
      <c r="O581" s="18">
        <f t="shared" si="638"/>
        <v>8158065</v>
      </c>
      <c r="P581" s="18">
        <f t="shared" si="634"/>
        <v>4894.845</v>
      </c>
      <c r="Q581" s="18">
        <f t="shared" si="635"/>
        <v>27100</v>
      </c>
      <c r="R581" s="42" t="s">
        <v>1178</v>
      </c>
      <c r="S581" s="4">
        <f t="shared" si="636"/>
        <v>231000012</v>
      </c>
      <c r="W581" s="4"/>
      <c r="X581" s="4"/>
      <c r="AD581" s="4" t="s">
        <v>1179</v>
      </c>
      <c r="AE581" s="4">
        <v>232000001</v>
      </c>
    </row>
    <row r="582" s="2" customFormat="1" spans="1:31">
      <c r="A582" s="4">
        <v>580</v>
      </c>
      <c r="B582" s="5" t="s">
        <v>1170</v>
      </c>
      <c r="C582" s="41" t="s">
        <v>1131</v>
      </c>
      <c r="D582" s="22" t="s">
        <v>41</v>
      </c>
      <c r="E582" s="4">
        <v>4</v>
      </c>
      <c r="F582" s="5">
        <v>2</v>
      </c>
      <c r="G582" s="5">
        <v>2</v>
      </c>
      <c r="H582" s="6">
        <f t="shared" si="630"/>
        <v>0.91</v>
      </c>
      <c r="I582" s="4">
        <f t="shared" si="631"/>
        <v>180216</v>
      </c>
      <c r="J582" s="22">
        <f>ROUND(VLOOKUP(D582,[1]物品容器!$T$3:$U$8,2,FALSE)*M582,0)*0.5</f>
        <v>49510</v>
      </c>
      <c r="K582" s="18">
        <f t="shared" si="632"/>
        <v>45054</v>
      </c>
      <c r="L582" s="18">
        <f t="shared" ref="L582:O582" si="639">ROUND($I582*L$2,0)</f>
        <v>108130</v>
      </c>
      <c r="M582" s="7">
        <v>0.9902</v>
      </c>
      <c r="N582" s="18">
        <f t="shared" si="639"/>
        <v>27032</v>
      </c>
      <c r="O582" s="18">
        <f t="shared" si="639"/>
        <v>2703240</v>
      </c>
      <c r="P582" s="18">
        <f t="shared" si="634"/>
        <v>1621.95</v>
      </c>
      <c r="Q582" s="18">
        <f t="shared" si="635"/>
        <v>8980</v>
      </c>
      <c r="R582" s="42" t="s">
        <v>1170</v>
      </c>
      <c r="S582" s="4">
        <f t="shared" si="636"/>
        <v>231000007</v>
      </c>
      <c r="W582" s="4"/>
      <c r="X582" s="4"/>
      <c r="AD582" s="4" t="s">
        <v>1180</v>
      </c>
      <c r="AE582" s="4">
        <v>232000002</v>
      </c>
    </row>
    <row r="583" s="2" customFormat="1" spans="1:31">
      <c r="A583" s="4">
        <v>581</v>
      </c>
      <c r="B583" s="5" t="s">
        <v>1172</v>
      </c>
      <c r="C583" s="41" t="s">
        <v>1131</v>
      </c>
      <c r="D583" s="22" t="s">
        <v>41</v>
      </c>
      <c r="E583" s="4">
        <v>5</v>
      </c>
      <c r="F583" s="5">
        <v>2</v>
      </c>
      <c r="G583" s="5">
        <v>2</v>
      </c>
      <c r="H583" s="6">
        <f t="shared" si="630"/>
        <v>0.91</v>
      </c>
      <c r="I583" s="4">
        <f t="shared" si="631"/>
        <v>181254</v>
      </c>
      <c r="J583" s="22">
        <f>ROUND(VLOOKUP(D583,[1]物品容器!$T$3:$U$8,2,FALSE)*M583,0)*0.5</f>
        <v>49795</v>
      </c>
      <c r="K583" s="18">
        <f t="shared" si="632"/>
        <v>45313</v>
      </c>
      <c r="L583" s="18">
        <f t="shared" ref="L583:O583" si="640">ROUND($I583*L$2,0)</f>
        <v>108752</v>
      </c>
      <c r="M583" s="7">
        <v>0.9959</v>
      </c>
      <c r="N583" s="18">
        <f t="shared" si="640"/>
        <v>27188</v>
      </c>
      <c r="O583" s="18">
        <f t="shared" si="640"/>
        <v>2718810</v>
      </c>
      <c r="P583" s="18">
        <f t="shared" si="634"/>
        <v>1631.28</v>
      </c>
      <c r="Q583" s="18">
        <f t="shared" si="635"/>
        <v>9032</v>
      </c>
      <c r="R583" s="42" t="s">
        <v>1172</v>
      </c>
      <c r="S583" s="4">
        <f t="shared" si="636"/>
        <v>231000008</v>
      </c>
      <c r="W583" s="4"/>
      <c r="X583" s="4"/>
      <c r="AD583" s="4" t="s">
        <v>1181</v>
      </c>
      <c r="AE583" s="4">
        <v>232000003</v>
      </c>
    </row>
    <row r="584" s="2" customFormat="1" spans="1:31">
      <c r="A584" s="4">
        <v>582</v>
      </c>
      <c r="B584" s="5" t="s">
        <v>1174</v>
      </c>
      <c r="C584" s="41" t="s">
        <v>1131</v>
      </c>
      <c r="D584" s="22" t="s">
        <v>41</v>
      </c>
      <c r="E584" s="4">
        <v>6</v>
      </c>
      <c r="F584" s="5">
        <v>2</v>
      </c>
      <c r="G584" s="5">
        <v>2</v>
      </c>
      <c r="H584" s="6">
        <f t="shared" si="630"/>
        <v>0.91</v>
      </c>
      <c r="I584" s="4">
        <f t="shared" si="631"/>
        <v>182073</v>
      </c>
      <c r="J584" s="22">
        <f>ROUND(VLOOKUP(D584,[1]物品容器!$T$3:$U$8,2,FALSE)*M584,0)*0.5</f>
        <v>50020</v>
      </c>
      <c r="K584" s="18">
        <f t="shared" si="632"/>
        <v>45518</v>
      </c>
      <c r="L584" s="18">
        <f t="shared" ref="L584:O584" si="641">ROUND($I584*L$2,0)</f>
        <v>109244</v>
      </c>
      <c r="M584" s="7">
        <v>1.0004</v>
      </c>
      <c r="N584" s="18">
        <f t="shared" si="641"/>
        <v>27311</v>
      </c>
      <c r="O584" s="18">
        <f t="shared" si="641"/>
        <v>2731095</v>
      </c>
      <c r="P584" s="18">
        <f t="shared" si="634"/>
        <v>1638.66</v>
      </c>
      <c r="Q584" s="18">
        <f t="shared" si="635"/>
        <v>9072</v>
      </c>
      <c r="R584" s="42" t="s">
        <v>1174</v>
      </c>
      <c r="S584" s="4">
        <f t="shared" si="636"/>
        <v>231000009</v>
      </c>
      <c r="W584" s="4"/>
      <c r="X584" s="4"/>
      <c r="AD584" s="4" t="s">
        <v>1155</v>
      </c>
      <c r="AE584" s="4">
        <v>232000004</v>
      </c>
    </row>
    <row r="585" s="2" customFormat="1" spans="1:31">
      <c r="A585" s="4">
        <v>583</v>
      </c>
      <c r="B585" s="5" t="s">
        <v>1164</v>
      </c>
      <c r="C585" s="41" t="s">
        <v>1131</v>
      </c>
      <c r="D585" s="24" t="s">
        <v>63</v>
      </c>
      <c r="E585" s="4">
        <v>7</v>
      </c>
      <c r="F585" s="5">
        <v>2</v>
      </c>
      <c r="G585" s="5">
        <v>2</v>
      </c>
      <c r="H585" s="6">
        <f t="shared" si="630"/>
        <v>0.91</v>
      </c>
      <c r="I585" s="4">
        <f t="shared" si="631"/>
        <v>54944</v>
      </c>
      <c r="J585" s="22">
        <f>ROUND(VLOOKUP(D585,[1]物品容器!$T$3:$U$8,2,FALSE)*M585,0)*0.5</f>
        <v>15094.5</v>
      </c>
      <c r="K585" s="18">
        <f t="shared" si="632"/>
        <v>13736</v>
      </c>
      <c r="L585" s="18">
        <f t="shared" ref="L585:O585" si="642">ROUND($I585*L$2,0)</f>
        <v>32966</v>
      </c>
      <c r="M585" s="7">
        <v>1.0063</v>
      </c>
      <c r="N585" s="18">
        <f t="shared" si="642"/>
        <v>8242</v>
      </c>
      <c r="O585" s="18">
        <f t="shared" si="642"/>
        <v>824160</v>
      </c>
      <c r="P585" s="18">
        <f t="shared" si="634"/>
        <v>494.49</v>
      </c>
      <c r="Q585" s="18">
        <f t="shared" si="635"/>
        <v>2738</v>
      </c>
      <c r="R585" s="42" t="s">
        <v>1164</v>
      </c>
      <c r="S585" s="4">
        <f t="shared" si="636"/>
        <v>231000004</v>
      </c>
      <c r="W585" s="4"/>
      <c r="X585" s="4"/>
      <c r="AD585" s="4" t="s">
        <v>1156</v>
      </c>
      <c r="AE585" s="4">
        <v>232000005</v>
      </c>
    </row>
    <row r="586" s="2" customFormat="1" spans="1:31">
      <c r="A586" s="4">
        <v>584</v>
      </c>
      <c r="B586" s="5" t="s">
        <v>1166</v>
      </c>
      <c r="C586" s="41" t="s">
        <v>1131</v>
      </c>
      <c r="D586" s="24" t="s">
        <v>63</v>
      </c>
      <c r="E586" s="4">
        <v>8</v>
      </c>
      <c r="F586" s="5">
        <v>2</v>
      </c>
      <c r="G586" s="5">
        <v>2</v>
      </c>
      <c r="H586" s="6">
        <f t="shared" si="630"/>
        <v>0.91</v>
      </c>
      <c r="I586" s="4">
        <f t="shared" si="631"/>
        <v>54496</v>
      </c>
      <c r="J586" s="22">
        <f>ROUND(VLOOKUP(D586,[1]物品容器!$T$3:$U$8,2,FALSE)*M586,0)*0.5</f>
        <v>14971.5</v>
      </c>
      <c r="K586" s="18">
        <f t="shared" si="632"/>
        <v>13624</v>
      </c>
      <c r="L586" s="18">
        <f t="shared" ref="L586:O586" si="643">ROUND($I586*L$2,0)</f>
        <v>32698</v>
      </c>
      <c r="M586" s="7">
        <v>0.9981</v>
      </c>
      <c r="N586" s="18">
        <f t="shared" si="643"/>
        <v>8174</v>
      </c>
      <c r="O586" s="18">
        <f t="shared" si="643"/>
        <v>817440</v>
      </c>
      <c r="P586" s="18">
        <f t="shared" si="634"/>
        <v>490.47</v>
      </c>
      <c r="Q586" s="18">
        <f t="shared" si="635"/>
        <v>2715</v>
      </c>
      <c r="R586" s="42" t="s">
        <v>1166</v>
      </c>
      <c r="S586" s="4">
        <f t="shared" si="636"/>
        <v>231000005</v>
      </c>
      <c r="W586" s="4"/>
      <c r="X586" s="4"/>
      <c r="AD586" s="4" t="s">
        <v>1157</v>
      </c>
      <c r="AE586" s="4">
        <v>232000006</v>
      </c>
    </row>
    <row r="587" s="2" customFormat="1" spans="1:31">
      <c r="A587" s="4">
        <v>585</v>
      </c>
      <c r="B587" s="5" t="s">
        <v>1168</v>
      </c>
      <c r="C587" s="41" t="s">
        <v>1131</v>
      </c>
      <c r="D587" s="24" t="s">
        <v>63</v>
      </c>
      <c r="E587" s="4">
        <v>9</v>
      </c>
      <c r="F587" s="5">
        <v>2</v>
      </c>
      <c r="G587" s="5">
        <v>2</v>
      </c>
      <c r="H587" s="6">
        <f t="shared" si="630"/>
        <v>0.91</v>
      </c>
      <c r="I587" s="4">
        <f t="shared" si="631"/>
        <v>54278</v>
      </c>
      <c r="J587" s="22">
        <f>ROUND(VLOOKUP(D587,[1]物品容器!$T$3:$U$8,2,FALSE)*M587,0)*0.5</f>
        <v>14911.5</v>
      </c>
      <c r="K587" s="18">
        <f t="shared" si="632"/>
        <v>13569</v>
      </c>
      <c r="L587" s="18">
        <f t="shared" ref="L587:O587" si="644">ROUND($I587*L$2,0)</f>
        <v>32567</v>
      </c>
      <c r="M587" s="7">
        <v>0.9941</v>
      </c>
      <c r="N587" s="18">
        <f t="shared" si="644"/>
        <v>8142</v>
      </c>
      <c r="O587" s="18">
        <f t="shared" si="644"/>
        <v>814170</v>
      </c>
      <c r="P587" s="18">
        <f t="shared" si="634"/>
        <v>488.505</v>
      </c>
      <c r="Q587" s="18">
        <f t="shared" si="635"/>
        <v>2705</v>
      </c>
      <c r="R587" s="42" t="s">
        <v>1168</v>
      </c>
      <c r="S587" s="4">
        <f t="shared" si="636"/>
        <v>231000006</v>
      </c>
      <c r="W587" s="4"/>
      <c r="X587" s="4"/>
      <c r="AD587" s="4" t="s">
        <v>1152</v>
      </c>
      <c r="AE587" s="4">
        <v>232000007</v>
      </c>
    </row>
    <row r="588" s="2" customFormat="1" spans="1:31">
      <c r="A588" s="4">
        <v>586</v>
      </c>
      <c r="B588" s="5" t="s">
        <v>1182</v>
      </c>
      <c r="C588" s="41" t="s">
        <v>1131</v>
      </c>
      <c r="D588" s="25" t="s">
        <v>76</v>
      </c>
      <c r="E588" s="4">
        <v>10</v>
      </c>
      <c r="F588" s="5">
        <v>2</v>
      </c>
      <c r="G588" s="5">
        <v>2</v>
      </c>
      <c r="H588" s="6">
        <f t="shared" si="630"/>
        <v>0.91</v>
      </c>
      <c r="I588" s="4">
        <f t="shared" si="631"/>
        <v>18060</v>
      </c>
      <c r="J588" s="22">
        <f>ROUND(VLOOKUP(D588,[1]物品容器!$T$3:$U$8,2,FALSE)*M588,0)*0.5</f>
        <v>4961.5</v>
      </c>
      <c r="K588" s="18">
        <f t="shared" si="632"/>
        <v>4515</v>
      </c>
      <c r="L588" s="18">
        <f t="shared" ref="L588:O588" si="645">ROUND($I588*L$2,0)</f>
        <v>10836</v>
      </c>
      <c r="M588" s="7">
        <v>0.9923</v>
      </c>
      <c r="N588" s="18">
        <f t="shared" si="645"/>
        <v>2709</v>
      </c>
      <c r="O588" s="18">
        <f t="shared" si="645"/>
        <v>270900</v>
      </c>
      <c r="P588" s="18">
        <f t="shared" si="634"/>
        <v>162.54</v>
      </c>
      <c r="Q588" s="18">
        <f t="shared" si="635"/>
        <v>900</v>
      </c>
      <c r="R588" s="42" t="s">
        <v>1182</v>
      </c>
      <c r="S588" s="4" t="e">
        <f t="shared" si="636"/>
        <v>#N/A</v>
      </c>
      <c r="W588" s="4"/>
      <c r="X588" s="4"/>
      <c r="AD588" s="4" t="s">
        <v>1153</v>
      </c>
      <c r="AE588" s="4">
        <v>232000008</v>
      </c>
    </row>
    <row r="589" s="2" customFormat="1" spans="1:31">
      <c r="A589" s="4">
        <v>587</v>
      </c>
      <c r="B589" s="5" t="s">
        <v>1183</v>
      </c>
      <c r="C589" s="41" t="s">
        <v>1131</v>
      </c>
      <c r="D589" s="25" t="s">
        <v>76</v>
      </c>
      <c r="E589" s="4">
        <v>11</v>
      </c>
      <c r="F589" s="5">
        <v>2</v>
      </c>
      <c r="G589" s="5">
        <v>2</v>
      </c>
      <c r="H589" s="6">
        <f t="shared" si="630"/>
        <v>0.91</v>
      </c>
      <c r="I589" s="4">
        <f t="shared" si="631"/>
        <v>18124</v>
      </c>
      <c r="J589" s="22">
        <f>ROUND(VLOOKUP(D589,[1]物品容器!$T$3:$U$8,2,FALSE)*M589,0)*0.5</f>
        <v>4979</v>
      </c>
      <c r="K589" s="18">
        <f t="shared" si="632"/>
        <v>4531</v>
      </c>
      <c r="L589" s="18">
        <f t="shared" ref="L589:O589" si="646">ROUND($I589*L$2,0)</f>
        <v>10874</v>
      </c>
      <c r="M589" s="7">
        <v>0.9958</v>
      </c>
      <c r="N589" s="18">
        <f t="shared" si="646"/>
        <v>2719</v>
      </c>
      <c r="O589" s="18">
        <f t="shared" si="646"/>
        <v>271860</v>
      </c>
      <c r="P589" s="18">
        <f t="shared" si="634"/>
        <v>163.11</v>
      </c>
      <c r="Q589" s="18">
        <f t="shared" si="635"/>
        <v>903</v>
      </c>
      <c r="R589" s="42" t="s">
        <v>1183</v>
      </c>
      <c r="S589" s="4" t="e">
        <f t="shared" si="636"/>
        <v>#N/A</v>
      </c>
      <c r="W589" s="4"/>
      <c r="X589" s="4"/>
      <c r="AD589" s="4" t="s">
        <v>1154</v>
      </c>
      <c r="AE589" s="4">
        <v>232000009</v>
      </c>
    </row>
    <row r="590" s="2" customFormat="1" spans="1:31">
      <c r="A590" s="4">
        <v>588</v>
      </c>
      <c r="B590" s="5" t="s">
        <v>1184</v>
      </c>
      <c r="C590" s="41" t="s">
        <v>1131</v>
      </c>
      <c r="D590" s="25" t="s">
        <v>76</v>
      </c>
      <c r="E590" s="4">
        <v>12</v>
      </c>
      <c r="F590" s="5">
        <v>2</v>
      </c>
      <c r="G590" s="5">
        <v>2</v>
      </c>
      <c r="H590" s="6">
        <f t="shared" si="630"/>
        <v>0.91</v>
      </c>
      <c r="I590" s="4">
        <f t="shared" si="631"/>
        <v>18054</v>
      </c>
      <c r="J590" s="22">
        <f>ROUND(VLOOKUP(D590,[1]物品容器!$T$3:$U$8,2,FALSE)*M590,0)*0.5</f>
        <v>4960</v>
      </c>
      <c r="K590" s="18">
        <f t="shared" si="632"/>
        <v>4514</v>
      </c>
      <c r="L590" s="18">
        <f t="shared" ref="L590:O590" si="647">ROUND($I590*L$2,0)</f>
        <v>10832</v>
      </c>
      <c r="M590" s="7">
        <v>0.992</v>
      </c>
      <c r="N590" s="18">
        <f t="shared" si="647"/>
        <v>2708</v>
      </c>
      <c r="O590" s="18">
        <f t="shared" si="647"/>
        <v>270810</v>
      </c>
      <c r="P590" s="18">
        <f t="shared" si="634"/>
        <v>162.48</v>
      </c>
      <c r="Q590" s="18">
        <f t="shared" si="635"/>
        <v>900</v>
      </c>
      <c r="R590" s="42" t="s">
        <v>1184</v>
      </c>
      <c r="S590" s="4" t="e">
        <f t="shared" si="636"/>
        <v>#N/A</v>
      </c>
      <c r="W590" s="4"/>
      <c r="X590" s="4"/>
      <c r="AD590" s="4" t="s">
        <v>1149</v>
      </c>
      <c r="AE590" s="4">
        <v>232000010</v>
      </c>
    </row>
    <row r="591" s="2" customFormat="1" spans="1:31">
      <c r="A591" s="4">
        <v>589</v>
      </c>
      <c r="B591" s="5" t="s">
        <v>1185</v>
      </c>
      <c r="C591" s="41" t="s">
        <v>1131</v>
      </c>
      <c r="D591" s="26" t="s">
        <v>94</v>
      </c>
      <c r="E591" s="4">
        <v>13</v>
      </c>
      <c r="F591" s="5">
        <v>2</v>
      </c>
      <c r="G591" s="5">
        <v>2</v>
      </c>
      <c r="H591" s="6">
        <f t="shared" si="630"/>
        <v>0.91</v>
      </c>
      <c r="I591" s="4">
        <f t="shared" si="631"/>
        <v>10851</v>
      </c>
      <c r="J591" s="13">
        <f>ROUND(VLOOKUP(D591,[1]物品容器!$T$3:$U$8,2,FALSE)*M591,0)</f>
        <v>2981</v>
      </c>
      <c r="K591" s="18">
        <f t="shared" si="632"/>
        <v>2713</v>
      </c>
      <c r="L591" s="18">
        <f t="shared" ref="L591:O591" si="648">ROUND($I591*L$2,0)</f>
        <v>6511</v>
      </c>
      <c r="M591" s="7">
        <v>0.9938</v>
      </c>
      <c r="N591" s="18">
        <f t="shared" si="648"/>
        <v>1628</v>
      </c>
      <c r="O591" s="18">
        <f t="shared" si="648"/>
        <v>162765</v>
      </c>
      <c r="P591" s="18">
        <f t="shared" si="634"/>
        <v>97.665</v>
      </c>
      <c r="Q591" s="18">
        <f t="shared" si="635"/>
        <v>541</v>
      </c>
      <c r="R591" s="42" t="s">
        <v>1185</v>
      </c>
      <c r="S591" s="4" t="e">
        <f t="shared" si="636"/>
        <v>#N/A</v>
      </c>
      <c r="W591" s="4"/>
      <c r="X591" s="4"/>
      <c r="AD591" s="4" t="s">
        <v>1150</v>
      </c>
      <c r="AE591" s="4">
        <v>232000011</v>
      </c>
    </row>
    <row r="592" s="2" customFormat="1" spans="1:31">
      <c r="A592" s="4">
        <v>590</v>
      </c>
      <c r="B592" s="5" t="s">
        <v>1186</v>
      </c>
      <c r="C592" s="41" t="s">
        <v>1131</v>
      </c>
      <c r="D592" s="26" t="s">
        <v>94</v>
      </c>
      <c r="E592" s="4">
        <v>14</v>
      </c>
      <c r="F592" s="5">
        <v>2</v>
      </c>
      <c r="G592" s="5">
        <v>2</v>
      </c>
      <c r="H592" s="6">
        <f t="shared" si="630"/>
        <v>0.91</v>
      </c>
      <c r="I592" s="4">
        <f t="shared" si="631"/>
        <v>10927</v>
      </c>
      <c r="J592" s="13">
        <f>ROUND(VLOOKUP(D592,[1]物品容器!$T$3:$U$8,2,FALSE)*M592,0)</f>
        <v>3002</v>
      </c>
      <c r="K592" s="18">
        <f t="shared" si="632"/>
        <v>2732</v>
      </c>
      <c r="L592" s="18">
        <f t="shared" ref="L592:O592" si="649">ROUND($I592*L$2,0)</f>
        <v>6556</v>
      </c>
      <c r="M592" s="7">
        <v>1.0007</v>
      </c>
      <c r="N592" s="18">
        <f t="shared" si="649"/>
        <v>1639</v>
      </c>
      <c r="O592" s="18">
        <f t="shared" si="649"/>
        <v>163905</v>
      </c>
      <c r="P592" s="18">
        <f t="shared" si="634"/>
        <v>98.34</v>
      </c>
      <c r="Q592" s="18">
        <f t="shared" si="635"/>
        <v>544</v>
      </c>
      <c r="R592" s="42" t="s">
        <v>1186</v>
      </c>
      <c r="S592" s="4" t="e">
        <f t="shared" si="636"/>
        <v>#N/A</v>
      </c>
      <c r="W592" s="4"/>
      <c r="X592" s="4"/>
      <c r="AD592" s="4" t="s">
        <v>1151</v>
      </c>
      <c r="AE592" s="4">
        <v>232000012</v>
      </c>
    </row>
    <row r="593" s="2" customFormat="1" spans="1:31">
      <c r="A593" s="4">
        <v>591</v>
      </c>
      <c r="B593" s="5" t="s">
        <v>1187</v>
      </c>
      <c r="C593" s="41" t="s">
        <v>1131</v>
      </c>
      <c r="D593" s="26" t="s">
        <v>94</v>
      </c>
      <c r="E593" s="4">
        <v>15</v>
      </c>
      <c r="F593" s="5">
        <v>2</v>
      </c>
      <c r="G593" s="5">
        <v>2</v>
      </c>
      <c r="H593" s="6">
        <f t="shared" si="630"/>
        <v>0.91</v>
      </c>
      <c r="I593" s="4">
        <f t="shared" si="631"/>
        <v>10996</v>
      </c>
      <c r="J593" s="13">
        <f>ROUND(VLOOKUP(D593,[1]物品容器!$T$3:$U$8,2,FALSE)*M593,0)</f>
        <v>3021</v>
      </c>
      <c r="K593" s="18">
        <f t="shared" si="632"/>
        <v>2749</v>
      </c>
      <c r="L593" s="18">
        <f t="shared" ref="L593:O593" si="650">ROUND($I593*L$2,0)</f>
        <v>6598</v>
      </c>
      <c r="M593" s="7">
        <v>1.007</v>
      </c>
      <c r="N593" s="18">
        <f t="shared" si="650"/>
        <v>1649</v>
      </c>
      <c r="O593" s="18">
        <f t="shared" si="650"/>
        <v>164940</v>
      </c>
      <c r="P593" s="18">
        <f t="shared" si="634"/>
        <v>98.97</v>
      </c>
      <c r="Q593" s="18">
        <f t="shared" si="635"/>
        <v>548</v>
      </c>
      <c r="R593" s="42" t="s">
        <v>1187</v>
      </c>
      <c r="S593" s="4" t="e">
        <f t="shared" si="636"/>
        <v>#N/A</v>
      </c>
      <c r="W593" s="4"/>
      <c r="X593" s="4"/>
      <c r="AD593" s="4" t="s">
        <v>1188</v>
      </c>
      <c r="AE593" s="4">
        <v>233000001</v>
      </c>
    </row>
    <row r="594" s="2" customFormat="1" spans="1:31">
      <c r="A594" s="4">
        <v>592</v>
      </c>
      <c r="B594" s="5" t="s">
        <v>1189</v>
      </c>
      <c r="C594" s="41" t="s">
        <v>1131</v>
      </c>
      <c r="D594" s="27" t="s">
        <v>116</v>
      </c>
      <c r="E594" s="4">
        <v>16</v>
      </c>
      <c r="F594" s="5">
        <v>2</v>
      </c>
      <c r="G594" s="5">
        <v>2</v>
      </c>
      <c r="H594" s="6">
        <f t="shared" si="630"/>
        <v>0.91</v>
      </c>
      <c r="I594" s="4">
        <f t="shared" si="631"/>
        <v>3647</v>
      </c>
      <c r="J594" s="13">
        <f>ROUND(VLOOKUP(D594,[1]物品容器!$T$3:$U$8,2,FALSE)*M594,0)</f>
        <v>1002</v>
      </c>
      <c r="K594" s="18">
        <f t="shared" si="632"/>
        <v>912</v>
      </c>
      <c r="L594" s="18">
        <f t="shared" ref="L594:O594" si="651">ROUND($I594*L$2,0)</f>
        <v>2188</v>
      </c>
      <c r="M594" s="7">
        <v>1.0018</v>
      </c>
      <c r="N594" s="18">
        <f t="shared" si="651"/>
        <v>547</v>
      </c>
      <c r="O594" s="18">
        <f t="shared" si="651"/>
        <v>54705</v>
      </c>
      <c r="P594" s="18">
        <f t="shared" si="634"/>
        <v>32.82</v>
      </c>
      <c r="Q594" s="18">
        <f t="shared" si="635"/>
        <v>182</v>
      </c>
      <c r="R594" s="42" t="s">
        <v>1189</v>
      </c>
      <c r="S594" s="4" t="e">
        <f t="shared" si="636"/>
        <v>#N/A</v>
      </c>
      <c r="W594" s="4"/>
      <c r="X594" s="4"/>
      <c r="AD594" s="4" t="s">
        <v>1190</v>
      </c>
      <c r="AE594" s="4">
        <v>233000002</v>
      </c>
    </row>
    <row r="595" s="2" customFormat="1" spans="1:31">
      <c r="A595" s="4">
        <v>593</v>
      </c>
      <c r="B595" s="5" t="s">
        <v>1191</v>
      </c>
      <c r="C595" s="41" t="s">
        <v>1131</v>
      </c>
      <c r="D595" s="27" t="s">
        <v>116</v>
      </c>
      <c r="E595" s="4">
        <v>17</v>
      </c>
      <c r="F595" s="5">
        <v>2</v>
      </c>
      <c r="G595" s="5">
        <v>2</v>
      </c>
      <c r="H595" s="6">
        <f t="shared" si="630"/>
        <v>0.91</v>
      </c>
      <c r="I595" s="4">
        <f t="shared" si="631"/>
        <v>3640</v>
      </c>
      <c r="J595" s="13">
        <f>ROUND(VLOOKUP(D595,[1]物品容器!$T$3:$U$8,2,FALSE)*M595,0)</f>
        <v>1000</v>
      </c>
      <c r="K595" s="18">
        <f t="shared" si="632"/>
        <v>910</v>
      </c>
      <c r="L595" s="18">
        <f t="shared" ref="L595:O595" si="652">ROUND($I595*L$2,0)</f>
        <v>2184</v>
      </c>
      <c r="M595" s="7">
        <v>0.9999</v>
      </c>
      <c r="N595" s="18">
        <f t="shared" si="652"/>
        <v>546</v>
      </c>
      <c r="O595" s="18">
        <f t="shared" si="652"/>
        <v>54600</v>
      </c>
      <c r="P595" s="18">
        <f t="shared" si="634"/>
        <v>32.76</v>
      </c>
      <c r="Q595" s="18">
        <f t="shared" si="635"/>
        <v>181</v>
      </c>
      <c r="R595" s="42" t="s">
        <v>1191</v>
      </c>
      <c r="S595" s="4" t="e">
        <f t="shared" si="636"/>
        <v>#N/A</v>
      </c>
      <c r="W595" s="4"/>
      <c r="X595" s="4"/>
      <c r="AD595" s="4" t="s">
        <v>1192</v>
      </c>
      <c r="AE595" s="4">
        <v>233000003</v>
      </c>
    </row>
    <row r="596" s="2" customFormat="1" spans="1:31">
      <c r="A596" s="4">
        <v>594</v>
      </c>
      <c r="B596" s="5" t="s">
        <v>1193</v>
      </c>
      <c r="C596" s="41" t="s">
        <v>1131</v>
      </c>
      <c r="D596" s="27" t="s">
        <v>116</v>
      </c>
      <c r="E596" s="4">
        <v>18</v>
      </c>
      <c r="F596" s="5">
        <v>2</v>
      </c>
      <c r="G596" s="5">
        <v>2</v>
      </c>
      <c r="H596" s="6">
        <f t="shared" si="630"/>
        <v>0.91</v>
      </c>
      <c r="I596" s="4">
        <f t="shared" si="631"/>
        <v>3662</v>
      </c>
      <c r="J596" s="13">
        <f>ROUND(VLOOKUP(D596,[1]物品容器!$T$3:$U$8,2,FALSE)*M596,0)</f>
        <v>1006</v>
      </c>
      <c r="K596" s="18">
        <f t="shared" si="632"/>
        <v>915</v>
      </c>
      <c r="L596" s="18">
        <f t="shared" ref="L596:O596" si="653">ROUND($I596*L$2,0)</f>
        <v>2197</v>
      </c>
      <c r="M596" s="7">
        <v>1.0056</v>
      </c>
      <c r="N596" s="18">
        <f t="shared" si="653"/>
        <v>549</v>
      </c>
      <c r="O596" s="18">
        <f t="shared" si="653"/>
        <v>54930</v>
      </c>
      <c r="P596" s="18">
        <f t="shared" si="634"/>
        <v>32.955</v>
      </c>
      <c r="Q596" s="18">
        <f t="shared" si="635"/>
        <v>182</v>
      </c>
      <c r="R596" s="42" t="s">
        <v>1193</v>
      </c>
      <c r="S596" s="4" t="e">
        <f t="shared" si="636"/>
        <v>#N/A</v>
      </c>
      <c r="W596" s="4"/>
      <c r="X596" s="4"/>
      <c r="AD596" s="4" t="s">
        <v>1137</v>
      </c>
      <c r="AE596" s="4">
        <v>233000004</v>
      </c>
    </row>
    <row r="597" s="2" customFormat="1" spans="1:31">
      <c r="A597" s="4">
        <v>595</v>
      </c>
      <c r="B597" s="5" t="s">
        <v>1194</v>
      </c>
      <c r="C597" s="4" t="s">
        <v>1195</v>
      </c>
      <c r="D597" s="17" t="s">
        <v>26</v>
      </c>
      <c r="E597" s="4">
        <v>1</v>
      </c>
      <c r="F597" s="5">
        <v>1</v>
      </c>
      <c r="G597" s="5">
        <v>1</v>
      </c>
      <c r="H597" s="6">
        <f t="shared" si="630"/>
        <v>1</v>
      </c>
      <c r="I597" s="4">
        <f t="shared" si="631"/>
        <v>149175</v>
      </c>
      <c r="J597" s="22">
        <f>ROUND(VLOOKUP(D597,[1]物品容器!$T$3:$U$8,2,FALSE)*M597,0)*0.5</f>
        <v>149175</v>
      </c>
      <c r="K597" s="18">
        <f t="shared" si="632"/>
        <v>149175</v>
      </c>
      <c r="L597" s="18">
        <f t="shared" ref="L597:O597" si="654">ROUND($I597*L$2,0)</f>
        <v>89505</v>
      </c>
      <c r="M597" s="7">
        <v>0.9945</v>
      </c>
      <c r="N597" s="18">
        <f t="shared" si="654"/>
        <v>22376</v>
      </c>
      <c r="O597" s="18">
        <f t="shared" si="654"/>
        <v>2237625</v>
      </c>
      <c r="P597" s="18">
        <f t="shared" si="634"/>
        <v>1342.575</v>
      </c>
      <c r="Q597" s="18">
        <f t="shared" si="635"/>
        <v>7433</v>
      </c>
      <c r="R597" s="42" t="s">
        <v>1194</v>
      </c>
      <c r="S597" s="4" t="e">
        <f t="shared" si="636"/>
        <v>#N/A</v>
      </c>
      <c r="W597" s="4"/>
      <c r="X597" s="4"/>
      <c r="AD597" s="4" t="s">
        <v>1138</v>
      </c>
      <c r="AE597" s="4">
        <v>233000005</v>
      </c>
    </row>
    <row r="598" s="2" customFormat="1" spans="1:31">
      <c r="A598" s="4">
        <v>596</v>
      </c>
      <c r="B598" s="5" t="s">
        <v>1196</v>
      </c>
      <c r="C598" s="4" t="s">
        <v>1195</v>
      </c>
      <c r="D598" s="17" t="s">
        <v>26</v>
      </c>
      <c r="E598" s="4">
        <v>2</v>
      </c>
      <c r="F598" s="5">
        <v>1</v>
      </c>
      <c r="G598" s="5">
        <v>1</v>
      </c>
      <c r="H598" s="6">
        <f t="shared" si="630"/>
        <v>1</v>
      </c>
      <c r="I598" s="4">
        <f t="shared" si="631"/>
        <v>150105</v>
      </c>
      <c r="J598" s="22">
        <f>ROUND(VLOOKUP(D598,[1]物品容器!$T$3:$U$8,2,FALSE)*M598,0)*0.5</f>
        <v>150105</v>
      </c>
      <c r="K598" s="18">
        <f t="shared" si="632"/>
        <v>150105</v>
      </c>
      <c r="L598" s="18">
        <f t="shared" ref="L598:O598" si="655">ROUND($I598*L$2,0)</f>
        <v>90063</v>
      </c>
      <c r="M598" s="7">
        <v>1.0007</v>
      </c>
      <c r="N598" s="18">
        <f t="shared" si="655"/>
        <v>22516</v>
      </c>
      <c r="O598" s="18">
        <f t="shared" si="655"/>
        <v>2251575</v>
      </c>
      <c r="P598" s="18">
        <f t="shared" si="634"/>
        <v>1350.945</v>
      </c>
      <c r="Q598" s="18">
        <f t="shared" si="635"/>
        <v>7480</v>
      </c>
      <c r="R598" s="42" t="s">
        <v>1196</v>
      </c>
      <c r="S598" s="4" t="e">
        <f t="shared" si="636"/>
        <v>#N/A</v>
      </c>
      <c r="W598" s="4"/>
      <c r="X598" s="4"/>
      <c r="AD598" s="4" t="s">
        <v>1139</v>
      </c>
      <c r="AE598" s="4">
        <v>233000006</v>
      </c>
    </row>
    <row r="599" s="2" customFormat="1" spans="1:31">
      <c r="A599" s="4">
        <v>597</v>
      </c>
      <c r="B599" s="5" t="s">
        <v>1197</v>
      </c>
      <c r="C599" s="4" t="s">
        <v>1195</v>
      </c>
      <c r="D599" s="17" t="s">
        <v>26</v>
      </c>
      <c r="E599" s="4">
        <v>3</v>
      </c>
      <c r="F599" s="5">
        <v>1</v>
      </c>
      <c r="G599" s="5">
        <v>1</v>
      </c>
      <c r="H599" s="6">
        <f t="shared" si="630"/>
        <v>1</v>
      </c>
      <c r="I599" s="4">
        <f t="shared" si="631"/>
        <v>151290</v>
      </c>
      <c r="J599" s="22">
        <f>ROUND(VLOOKUP(D599,[1]物品容器!$T$3:$U$8,2,FALSE)*M599,0)*0.5</f>
        <v>151290</v>
      </c>
      <c r="K599" s="18">
        <f t="shared" si="632"/>
        <v>151290</v>
      </c>
      <c r="L599" s="18">
        <f t="shared" ref="L599:O599" si="656">ROUND($I599*L$2,0)</f>
        <v>90774</v>
      </c>
      <c r="M599" s="7">
        <v>1.0086</v>
      </c>
      <c r="N599" s="18">
        <f t="shared" si="656"/>
        <v>22694</v>
      </c>
      <c r="O599" s="18">
        <f t="shared" si="656"/>
        <v>2269350</v>
      </c>
      <c r="P599" s="18">
        <f t="shared" si="634"/>
        <v>1361.61</v>
      </c>
      <c r="Q599" s="18">
        <f t="shared" si="635"/>
        <v>7539</v>
      </c>
      <c r="R599" s="42" t="s">
        <v>1197</v>
      </c>
      <c r="S599" s="4" t="e">
        <f t="shared" si="636"/>
        <v>#N/A</v>
      </c>
      <c r="W599" s="4"/>
      <c r="X599" s="4"/>
      <c r="AD599" s="4" t="s">
        <v>1134</v>
      </c>
      <c r="AE599" s="4">
        <v>233000007</v>
      </c>
    </row>
    <row r="600" s="2" customFormat="1" spans="1:31">
      <c r="A600" s="4">
        <v>598</v>
      </c>
      <c r="B600" s="5" t="s">
        <v>1198</v>
      </c>
      <c r="C600" s="4" t="s">
        <v>1195</v>
      </c>
      <c r="D600" s="17" t="s">
        <v>26</v>
      </c>
      <c r="E600" s="4">
        <v>4</v>
      </c>
      <c r="F600" s="5">
        <v>1</v>
      </c>
      <c r="G600" s="5">
        <v>1</v>
      </c>
      <c r="H600" s="6">
        <f t="shared" si="630"/>
        <v>1</v>
      </c>
      <c r="I600" s="4">
        <f t="shared" si="631"/>
        <v>150630</v>
      </c>
      <c r="J600" s="22">
        <f>ROUND(VLOOKUP(D600,[1]物品容器!$T$3:$U$8,2,FALSE)*M600,0)*0.5</f>
        <v>150630</v>
      </c>
      <c r="K600" s="18">
        <f t="shared" si="632"/>
        <v>150630</v>
      </c>
      <c r="L600" s="18">
        <f t="shared" ref="L600:O600" si="657">ROUND($I600*L$2,0)</f>
        <v>90378</v>
      </c>
      <c r="M600" s="7">
        <v>1.0042</v>
      </c>
      <c r="N600" s="18">
        <f t="shared" si="657"/>
        <v>22595</v>
      </c>
      <c r="O600" s="18">
        <f t="shared" si="657"/>
        <v>2259450</v>
      </c>
      <c r="P600" s="18">
        <f t="shared" si="634"/>
        <v>1355.67</v>
      </c>
      <c r="Q600" s="18">
        <f t="shared" si="635"/>
        <v>7506</v>
      </c>
      <c r="R600" s="42" t="s">
        <v>1198</v>
      </c>
      <c r="S600" s="4" t="e">
        <f t="shared" si="636"/>
        <v>#N/A</v>
      </c>
      <c r="W600" s="4"/>
      <c r="X600" s="4"/>
      <c r="AD600" s="4" t="s">
        <v>1135</v>
      </c>
      <c r="AE600" s="4">
        <v>233000008</v>
      </c>
    </row>
    <row r="601" s="2" customFormat="1" spans="1:31">
      <c r="A601" s="4">
        <v>599</v>
      </c>
      <c r="B601" s="5" t="s">
        <v>1199</v>
      </c>
      <c r="C601" s="4" t="s">
        <v>1195</v>
      </c>
      <c r="D601" s="17" t="s">
        <v>26</v>
      </c>
      <c r="E601" s="4">
        <v>5</v>
      </c>
      <c r="F601" s="5">
        <v>1</v>
      </c>
      <c r="G601" s="5">
        <v>1</v>
      </c>
      <c r="H601" s="6">
        <f t="shared" si="630"/>
        <v>1</v>
      </c>
      <c r="I601" s="4">
        <f t="shared" si="631"/>
        <v>149355</v>
      </c>
      <c r="J601" s="22">
        <f>ROUND(VLOOKUP(D601,[1]物品容器!$T$3:$U$8,2,FALSE)*M601,0)*0.5</f>
        <v>149355</v>
      </c>
      <c r="K601" s="18">
        <f t="shared" si="632"/>
        <v>149355</v>
      </c>
      <c r="L601" s="18">
        <f t="shared" ref="L601:O601" si="658">ROUND($I601*L$2,0)</f>
        <v>89613</v>
      </c>
      <c r="M601" s="7">
        <v>0.9957</v>
      </c>
      <c r="N601" s="18">
        <f t="shared" si="658"/>
        <v>22403</v>
      </c>
      <c r="O601" s="18">
        <f t="shared" si="658"/>
        <v>2240325</v>
      </c>
      <c r="P601" s="18">
        <f t="shared" si="634"/>
        <v>1344.195</v>
      </c>
      <c r="Q601" s="18">
        <f t="shared" si="635"/>
        <v>7442</v>
      </c>
      <c r="R601" s="42" t="s">
        <v>1199</v>
      </c>
      <c r="S601" s="4" t="e">
        <f t="shared" si="636"/>
        <v>#N/A</v>
      </c>
      <c r="W601" s="4"/>
      <c r="X601" s="4"/>
      <c r="AD601" s="4" t="s">
        <v>1136</v>
      </c>
      <c r="AE601" s="4">
        <v>233000009</v>
      </c>
    </row>
    <row r="602" s="2" customFormat="1" spans="1:31">
      <c r="A602" s="4">
        <v>600</v>
      </c>
      <c r="B602" s="5" t="s">
        <v>1200</v>
      </c>
      <c r="C602" s="4" t="s">
        <v>1195</v>
      </c>
      <c r="D602" s="17" t="s">
        <v>26</v>
      </c>
      <c r="E602" s="4">
        <v>6</v>
      </c>
      <c r="F602" s="5">
        <v>1</v>
      </c>
      <c r="G602" s="5">
        <v>1</v>
      </c>
      <c r="H602" s="6">
        <f t="shared" si="630"/>
        <v>1</v>
      </c>
      <c r="I602" s="4">
        <f t="shared" si="631"/>
        <v>150105</v>
      </c>
      <c r="J602" s="22">
        <f>ROUND(VLOOKUP(D602,[1]物品容器!$T$3:$U$8,2,FALSE)*M602,0)*0.5</f>
        <v>150105</v>
      </c>
      <c r="K602" s="18">
        <f t="shared" si="632"/>
        <v>150105</v>
      </c>
      <c r="L602" s="18">
        <f t="shared" ref="L602:O602" si="659">ROUND($I602*L$2,0)</f>
        <v>90063</v>
      </c>
      <c r="M602" s="7">
        <v>1.0007</v>
      </c>
      <c r="N602" s="18">
        <f t="shared" si="659"/>
        <v>22516</v>
      </c>
      <c r="O602" s="18">
        <f t="shared" si="659"/>
        <v>2251575</v>
      </c>
      <c r="P602" s="18">
        <f t="shared" si="634"/>
        <v>1350.945</v>
      </c>
      <c r="Q602" s="18">
        <f t="shared" si="635"/>
        <v>7480</v>
      </c>
      <c r="R602" s="42" t="s">
        <v>1200</v>
      </c>
      <c r="S602" s="4" t="e">
        <f t="shared" si="636"/>
        <v>#N/A</v>
      </c>
      <c r="W602" s="4"/>
      <c r="X602" s="4"/>
      <c r="AD602" s="4" t="s">
        <v>1130</v>
      </c>
      <c r="AE602" s="4">
        <v>233000010</v>
      </c>
    </row>
    <row r="603" s="2" customFormat="1" spans="1:31">
      <c r="A603" s="4">
        <v>601</v>
      </c>
      <c r="B603" s="5" t="s">
        <v>1201</v>
      </c>
      <c r="C603" s="4" t="s">
        <v>1195</v>
      </c>
      <c r="D603" s="17" t="s">
        <v>26</v>
      </c>
      <c r="E603" s="4">
        <v>7</v>
      </c>
      <c r="F603" s="5">
        <v>1</v>
      </c>
      <c r="G603" s="5">
        <v>1</v>
      </c>
      <c r="H603" s="6">
        <f t="shared" si="630"/>
        <v>1</v>
      </c>
      <c r="I603" s="4">
        <f t="shared" si="631"/>
        <v>150000</v>
      </c>
      <c r="J603" s="22">
        <f>ROUND(VLOOKUP(D603,[1]物品容器!$T$3:$U$8,2,FALSE)*M603,0)*0.5</f>
        <v>150000</v>
      </c>
      <c r="K603" s="18">
        <f t="shared" si="632"/>
        <v>150000</v>
      </c>
      <c r="L603" s="18">
        <f t="shared" ref="L603:O603" si="660">ROUND($I603*L$2,0)</f>
        <v>90000</v>
      </c>
      <c r="M603" s="7">
        <v>1</v>
      </c>
      <c r="N603" s="18">
        <f t="shared" si="660"/>
        <v>22500</v>
      </c>
      <c r="O603" s="18">
        <f t="shared" si="660"/>
        <v>2250000</v>
      </c>
      <c r="P603" s="18">
        <f t="shared" si="634"/>
        <v>1350</v>
      </c>
      <c r="Q603" s="18">
        <f t="shared" si="635"/>
        <v>7474</v>
      </c>
      <c r="R603" s="42" t="s">
        <v>1201</v>
      </c>
      <c r="S603" s="4" t="e">
        <f t="shared" si="636"/>
        <v>#N/A</v>
      </c>
      <c r="W603" s="4"/>
      <c r="X603" s="4"/>
      <c r="AD603" s="4" t="s">
        <v>1132</v>
      </c>
      <c r="AE603" s="4">
        <v>233000011</v>
      </c>
    </row>
    <row r="604" s="2" customFormat="1" spans="1:31">
      <c r="A604" s="4">
        <v>602</v>
      </c>
      <c r="B604" s="5" t="s">
        <v>1202</v>
      </c>
      <c r="C604" s="4" t="s">
        <v>1195</v>
      </c>
      <c r="D604" s="17" t="s">
        <v>26</v>
      </c>
      <c r="E604" s="4">
        <v>8</v>
      </c>
      <c r="F604" s="5">
        <v>1</v>
      </c>
      <c r="G604" s="5">
        <v>1</v>
      </c>
      <c r="H604" s="6">
        <f t="shared" si="630"/>
        <v>1</v>
      </c>
      <c r="I604" s="4">
        <f t="shared" si="631"/>
        <v>149670</v>
      </c>
      <c r="J604" s="22">
        <f>ROUND(VLOOKUP(D604,[1]物品容器!$T$3:$U$8,2,FALSE)*M604,0)*0.5</f>
        <v>149670</v>
      </c>
      <c r="K604" s="18">
        <f t="shared" si="632"/>
        <v>149670</v>
      </c>
      <c r="L604" s="18">
        <f t="shared" ref="L604:O604" si="661">ROUND($I604*L$2,0)</f>
        <v>89802</v>
      </c>
      <c r="M604" s="7">
        <v>0.9978</v>
      </c>
      <c r="N604" s="18">
        <f t="shared" si="661"/>
        <v>22451</v>
      </c>
      <c r="O604" s="18">
        <f t="shared" si="661"/>
        <v>2245050</v>
      </c>
      <c r="P604" s="18">
        <f t="shared" si="634"/>
        <v>1347.03</v>
      </c>
      <c r="Q604" s="18">
        <f t="shared" si="635"/>
        <v>7458</v>
      </c>
      <c r="R604" s="42" t="s">
        <v>1202</v>
      </c>
      <c r="S604" s="4" t="e">
        <f t="shared" si="636"/>
        <v>#N/A</v>
      </c>
      <c r="W604" s="4"/>
      <c r="X604" s="4"/>
      <c r="AD604" s="4" t="s">
        <v>1133</v>
      </c>
      <c r="AE604" s="4">
        <v>233000012</v>
      </c>
    </row>
    <row r="605" s="2" customFormat="1" spans="1:31">
      <c r="A605" s="4">
        <v>603</v>
      </c>
      <c r="B605" s="5" t="s">
        <v>1203</v>
      </c>
      <c r="C605" s="4" t="s">
        <v>1195</v>
      </c>
      <c r="D605" s="17" t="s">
        <v>26</v>
      </c>
      <c r="E605" s="4">
        <v>9</v>
      </c>
      <c r="F605" s="5">
        <v>1</v>
      </c>
      <c r="G605" s="5">
        <v>1</v>
      </c>
      <c r="H605" s="6">
        <f t="shared" si="630"/>
        <v>1</v>
      </c>
      <c r="I605" s="4">
        <f t="shared" si="631"/>
        <v>151140</v>
      </c>
      <c r="J605" s="22">
        <f>ROUND(VLOOKUP(D605,[1]物品容器!$T$3:$U$8,2,FALSE)*M605,0)*0.5</f>
        <v>151140</v>
      </c>
      <c r="K605" s="18">
        <f t="shared" si="632"/>
        <v>151140</v>
      </c>
      <c r="L605" s="18">
        <f t="shared" ref="L605:O605" si="662">ROUND($I605*L$2,0)</f>
        <v>90684</v>
      </c>
      <c r="M605" s="7">
        <v>1.0076</v>
      </c>
      <c r="N605" s="18">
        <f t="shared" si="662"/>
        <v>22671</v>
      </c>
      <c r="O605" s="18">
        <f t="shared" si="662"/>
        <v>2267100</v>
      </c>
      <c r="P605" s="18">
        <f t="shared" si="634"/>
        <v>1360.26</v>
      </c>
      <c r="Q605" s="18">
        <f t="shared" si="635"/>
        <v>7531</v>
      </c>
      <c r="R605" s="42" t="s">
        <v>1203</v>
      </c>
      <c r="S605" s="4" t="e">
        <f t="shared" si="636"/>
        <v>#N/A</v>
      </c>
      <c r="W605" s="4"/>
      <c r="X605" s="4"/>
      <c r="AD605" s="4" t="s">
        <v>1204</v>
      </c>
      <c r="AE605" s="4">
        <v>290000001</v>
      </c>
    </row>
    <row r="606" s="2" customFormat="1" spans="1:31">
      <c r="A606" s="4">
        <v>604</v>
      </c>
      <c r="B606" s="5" t="s">
        <v>1205</v>
      </c>
      <c r="C606" s="4" t="s">
        <v>1195</v>
      </c>
      <c r="D606" s="17" t="s">
        <v>26</v>
      </c>
      <c r="E606" s="4">
        <v>10</v>
      </c>
      <c r="F606" s="5">
        <v>1</v>
      </c>
      <c r="G606" s="5">
        <v>1</v>
      </c>
      <c r="H606" s="6">
        <f t="shared" si="630"/>
        <v>1</v>
      </c>
      <c r="I606" s="4">
        <f t="shared" si="631"/>
        <v>148740</v>
      </c>
      <c r="J606" s="22">
        <f>ROUND(VLOOKUP(D606,[1]物品容器!$T$3:$U$8,2,FALSE)*M606,0)*0.5</f>
        <v>148740</v>
      </c>
      <c r="K606" s="18">
        <f t="shared" si="632"/>
        <v>148740</v>
      </c>
      <c r="L606" s="18">
        <f t="shared" ref="L606:O606" si="663">ROUND($I606*L$2,0)</f>
        <v>89244</v>
      </c>
      <c r="M606" s="7">
        <v>0.9916</v>
      </c>
      <c r="N606" s="18">
        <f t="shared" si="663"/>
        <v>22311</v>
      </c>
      <c r="O606" s="18">
        <f t="shared" si="663"/>
        <v>2231100</v>
      </c>
      <c r="P606" s="18">
        <f t="shared" si="634"/>
        <v>1338.66</v>
      </c>
      <c r="Q606" s="18">
        <f t="shared" si="635"/>
        <v>7412</v>
      </c>
      <c r="R606" s="42" t="s">
        <v>1205</v>
      </c>
      <c r="S606" s="4" t="e">
        <f t="shared" si="636"/>
        <v>#N/A</v>
      </c>
      <c r="W606" s="4"/>
      <c r="X606" s="4"/>
      <c r="AD606" s="4" t="s">
        <v>1206</v>
      </c>
      <c r="AE606" s="4">
        <v>290000002</v>
      </c>
    </row>
    <row r="607" s="2" customFormat="1" spans="1:31">
      <c r="A607" s="4">
        <v>605</v>
      </c>
      <c r="B607" s="5" t="s">
        <v>1207</v>
      </c>
      <c r="C607" s="4" t="s">
        <v>1195</v>
      </c>
      <c r="D607" s="17" t="s">
        <v>26</v>
      </c>
      <c r="E607" s="4">
        <v>11</v>
      </c>
      <c r="F607" s="5">
        <v>1</v>
      </c>
      <c r="G607" s="5">
        <v>1</v>
      </c>
      <c r="H607" s="6">
        <f t="shared" si="630"/>
        <v>1</v>
      </c>
      <c r="I607" s="4">
        <f t="shared" si="631"/>
        <v>150345</v>
      </c>
      <c r="J607" s="22">
        <f>ROUND(VLOOKUP(D607,[1]物品容器!$T$3:$U$8,2,FALSE)*M607,0)*0.5</f>
        <v>150345</v>
      </c>
      <c r="K607" s="18">
        <f t="shared" si="632"/>
        <v>150345</v>
      </c>
      <c r="L607" s="18">
        <f t="shared" ref="L607:O607" si="664">ROUND($I607*L$2,0)</f>
        <v>90207</v>
      </c>
      <c r="M607" s="7">
        <v>1.0023</v>
      </c>
      <c r="N607" s="18">
        <f t="shared" si="664"/>
        <v>22552</v>
      </c>
      <c r="O607" s="18">
        <f t="shared" si="664"/>
        <v>2255175</v>
      </c>
      <c r="P607" s="18">
        <f t="shared" si="634"/>
        <v>1353.105</v>
      </c>
      <c r="Q607" s="18">
        <f t="shared" si="635"/>
        <v>7492</v>
      </c>
      <c r="R607" s="42" t="s">
        <v>1207</v>
      </c>
      <c r="S607" s="4" t="e">
        <f t="shared" si="636"/>
        <v>#N/A</v>
      </c>
      <c r="W607" s="4"/>
      <c r="X607" s="4"/>
      <c r="AD607" s="4" t="s">
        <v>1208</v>
      </c>
      <c r="AE607" s="4">
        <v>290000003</v>
      </c>
    </row>
    <row r="608" s="2" customFormat="1" spans="1:31">
      <c r="A608" s="4">
        <v>606</v>
      </c>
      <c r="B608" s="5" t="s">
        <v>1209</v>
      </c>
      <c r="C608" s="4" t="s">
        <v>1195</v>
      </c>
      <c r="D608" s="17" t="s">
        <v>26</v>
      </c>
      <c r="E608" s="4">
        <v>12</v>
      </c>
      <c r="F608" s="5">
        <v>1</v>
      </c>
      <c r="G608" s="5">
        <v>1</v>
      </c>
      <c r="H608" s="6">
        <f t="shared" si="630"/>
        <v>1</v>
      </c>
      <c r="I608" s="4">
        <f t="shared" si="631"/>
        <v>151260</v>
      </c>
      <c r="J608" s="22">
        <f>ROUND(VLOOKUP(D608,[1]物品容器!$T$3:$U$8,2,FALSE)*M608,0)*0.5</f>
        <v>151260</v>
      </c>
      <c r="K608" s="18">
        <f t="shared" si="632"/>
        <v>151260</v>
      </c>
      <c r="L608" s="18">
        <f t="shared" ref="L608:O608" si="665">ROUND($I608*L$2,0)</f>
        <v>90756</v>
      </c>
      <c r="M608" s="7">
        <v>1.0084</v>
      </c>
      <c r="N608" s="18">
        <f t="shared" si="665"/>
        <v>22689</v>
      </c>
      <c r="O608" s="18">
        <f t="shared" si="665"/>
        <v>2268900</v>
      </c>
      <c r="P608" s="18">
        <f t="shared" si="634"/>
        <v>1361.34</v>
      </c>
      <c r="Q608" s="18">
        <f t="shared" si="635"/>
        <v>7537</v>
      </c>
      <c r="R608" s="42" t="s">
        <v>1209</v>
      </c>
      <c r="S608" s="4" t="e">
        <f t="shared" si="636"/>
        <v>#N/A</v>
      </c>
      <c r="W608" s="4"/>
      <c r="X608" s="4"/>
      <c r="AD608" s="4" t="s">
        <v>1210</v>
      </c>
      <c r="AE608" s="4">
        <v>290000004</v>
      </c>
    </row>
    <row r="609" s="2" customFormat="1" spans="1:31">
      <c r="A609" s="4">
        <v>607</v>
      </c>
      <c r="B609" s="5" t="s">
        <v>1211</v>
      </c>
      <c r="C609" s="4" t="s">
        <v>1195</v>
      </c>
      <c r="D609" s="17" t="s">
        <v>26</v>
      </c>
      <c r="E609" s="4">
        <v>13</v>
      </c>
      <c r="F609" s="5">
        <v>1</v>
      </c>
      <c r="G609" s="5">
        <v>1</v>
      </c>
      <c r="H609" s="6">
        <f t="shared" si="630"/>
        <v>1</v>
      </c>
      <c r="I609" s="4">
        <f t="shared" si="631"/>
        <v>149505</v>
      </c>
      <c r="J609" s="22">
        <f>ROUND(VLOOKUP(D609,[1]物品容器!$T$3:$U$8,2,FALSE)*M609,0)*0.5</f>
        <v>149505</v>
      </c>
      <c r="K609" s="18">
        <f t="shared" si="632"/>
        <v>149505</v>
      </c>
      <c r="L609" s="18">
        <f t="shared" ref="L609:O609" si="666">ROUND($I609*L$2,0)</f>
        <v>89703</v>
      </c>
      <c r="M609" s="7">
        <v>0.9967</v>
      </c>
      <c r="N609" s="18">
        <f t="shared" si="666"/>
        <v>22426</v>
      </c>
      <c r="O609" s="18">
        <f t="shared" si="666"/>
        <v>2242575</v>
      </c>
      <c r="P609" s="18">
        <f t="shared" si="634"/>
        <v>1345.545</v>
      </c>
      <c r="Q609" s="18">
        <f t="shared" si="635"/>
        <v>7450</v>
      </c>
      <c r="R609" s="42" t="s">
        <v>1211</v>
      </c>
      <c r="S609" s="4" t="e">
        <f t="shared" si="636"/>
        <v>#N/A</v>
      </c>
      <c r="W609" s="4"/>
      <c r="X609" s="4"/>
      <c r="AD609" s="4" t="s">
        <v>1212</v>
      </c>
      <c r="AE609" s="4">
        <v>300100001</v>
      </c>
    </row>
    <row r="610" s="2" customFormat="1" spans="1:31">
      <c r="A610" s="4">
        <v>608</v>
      </c>
      <c r="B610" s="5" t="s">
        <v>1213</v>
      </c>
      <c r="C610" s="4" t="s">
        <v>1195</v>
      </c>
      <c r="D610" s="17" t="s">
        <v>26</v>
      </c>
      <c r="E610" s="4">
        <v>14</v>
      </c>
      <c r="F610" s="5">
        <v>1</v>
      </c>
      <c r="G610" s="5">
        <v>1</v>
      </c>
      <c r="H610" s="6">
        <f t="shared" si="630"/>
        <v>1</v>
      </c>
      <c r="I610" s="4">
        <f t="shared" si="631"/>
        <v>151035</v>
      </c>
      <c r="J610" s="22">
        <f>ROUND(VLOOKUP(D610,[1]物品容器!$T$3:$U$8,2,FALSE)*M610,0)*0.5</f>
        <v>151035</v>
      </c>
      <c r="K610" s="18">
        <f t="shared" si="632"/>
        <v>151035</v>
      </c>
      <c r="L610" s="18">
        <f t="shared" ref="L610:O610" si="667">ROUND($I610*L$2,0)</f>
        <v>90621</v>
      </c>
      <c r="M610" s="7">
        <v>1.0069</v>
      </c>
      <c r="N610" s="18">
        <f t="shared" si="667"/>
        <v>22655</v>
      </c>
      <c r="O610" s="18">
        <f t="shared" si="667"/>
        <v>2265525</v>
      </c>
      <c r="P610" s="18">
        <f t="shared" si="634"/>
        <v>1359.315</v>
      </c>
      <c r="Q610" s="18">
        <f t="shared" si="635"/>
        <v>7526</v>
      </c>
      <c r="R610" s="42" t="s">
        <v>1213</v>
      </c>
      <c r="S610" s="4" t="e">
        <f t="shared" si="636"/>
        <v>#N/A</v>
      </c>
      <c r="W610" s="4"/>
      <c r="X610" s="4"/>
      <c r="AD610" s="4" t="s">
        <v>1214</v>
      </c>
      <c r="AE610" s="4">
        <v>300100002</v>
      </c>
    </row>
    <row r="611" s="2" customFormat="1" spans="1:31">
      <c r="A611" s="4">
        <v>609</v>
      </c>
      <c r="B611" s="5" t="s">
        <v>1215</v>
      </c>
      <c r="C611" s="4" t="s">
        <v>1195</v>
      </c>
      <c r="D611" s="17" t="s">
        <v>26</v>
      </c>
      <c r="E611" s="4">
        <v>15</v>
      </c>
      <c r="F611" s="5">
        <v>1</v>
      </c>
      <c r="G611" s="5">
        <v>1</v>
      </c>
      <c r="H611" s="6">
        <f t="shared" si="630"/>
        <v>1</v>
      </c>
      <c r="I611" s="4">
        <f t="shared" si="631"/>
        <v>150090</v>
      </c>
      <c r="J611" s="22">
        <f>ROUND(VLOOKUP(D611,[1]物品容器!$T$3:$U$8,2,FALSE)*M611,0)*0.5</f>
        <v>150090</v>
      </c>
      <c r="K611" s="18">
        <f t="shared" si="632"/>
        <v>150090</v>
      </c>
      <c r="L611" s="18">
        <f t="shared" ref="L611:O611" si="668">ROUND($I611*L$2,0)</f>
        <v>90054</v>
      </c>
      <c r="M611" s="7">
        <v>1.0006</v>
      </c>
      <c r="N611" s="18">
        <f t="shared" si="668"/>
        <v>22514</v>
      </c>
      <c r="O611" s="18">
        <f t="shared" si="668"/>
        <v>2251350</v>
      </c>
      <c r="P611" s="18">
        <f t="shared" si="634"/>
        <v>1350.81</v>
      </c>
      <c r="Q611" s="18">
        <f t="shared" si="635"/>
        <v>7479</v>
      </c>
      <c r="R611" s="42" t="s">
        <v>1215</v>
      </c>
      <c r="S611" s="4" t="e">
        <f t="shared" si="636"/>
        <v>#N/A</v>
      </c>
      <c r="W611" s="4"/>
      <c r="X611" s="4"/>
      <c r="AD611" s="4" t="s">
        <v>1216</v>
      </c>
      <c r="AE611" s="4">
        <v>300100003</v>
      </c>
    </row>
    <row r="612" s="2" customFormat="1" spans="1:31">
      <c r="A612" s="4">
        <v>610</v>
      </c>
      <c r="B612" s="5" t="s">
        <v>1217</v>
      </c>
      <c r="C612" s="4" t="s">
        <v>1195</v>
      </c>
      <c r="D612" s="17" t="s">
        <v>26</v>
      </c>
      <c r="E612" s="4">
        <v>16</v>
      </c>
      <c r="F612" s="5">
        <v>1</v>
      </c>
      <c r="G612" s="5">
        <v>1</v>
      </c>
      <c r="H612" s="6">
        <f t="shared" si="630"/>
        <v>1</v>
      </c>
      <c r="I612" s="4">
        <f t="shared" si="631"/>
        <v>148515</v>
      </c>
      <c r="J612" s="22">
        <f>ROUND(VLOOKUP(D612,[1]物品容器!$T$3:$U$8,2,FALSE)*M612,0)*0.5</f>
        <v>148515</v>
      </c>
      <c r="K612" s="18">
        <f t="shared" si="632"/>
        <v>148515</v>
      </c>
      <c r="L612" s="18">
        <f t="shared" ref="L612:O612" si="669">ROUND($I612*L$2,0)</f>
        <v>89109</v>
      </c>
      <c r="M612" s="7">
        <v>0.9901</v>
      </c>
      <c r="N612" s="18">
        <f t="shared" si="669"/>
        <v>22277</v>
      </c>
      <c r="O612" s="18">
        <f t="shared" si="669"/>
        <v>2227725</v>
      </c>
      <c r="P612" s="18">
        <f t="shared" si="634"/>
        <v>1336.635</v>
      </c>
      <c r="Q612" s="18">
        <f t="shared" si="635"/>
        <v>7400</v>
      </c>
      <c r="R612" s="42" t="s">
        <v>1217</v>
      </c>
      <c r="S612" s="4" t="e">
        <f t="shared" si="636"/>
        <v>#N/A</v>
      </c>
      <c r="W612" s="4"/>
      <c r="X612" s="4"/>
      <c r="AD612" s="4" t="s">
        <v>1218</v>
      </c>
      <c r="AE612" s="4">
        <v>300100004</v>
      </c>
    </row>
    <row r="613" s="2" customFormat="1" spans="1:31">
      <c r="A613" s="4">
        <v>611</v>
      </c>
      <c r="B613" s="5" t="s">
        <v>1219</v>
      </c>
      <c r="C613" s="4" t="s">
        <v>1195</v>
      </c>
      <c r="D613" s="17" t="s">
        <v>26</v>
      </c>
      <c r="E613" s="4">
        <v>17</v>
      </c>
      <c r="F613" s="5">
        <v>1</v>
      </c>
      <c r="G613" s="5">
        <v>1</v>
      </c>
      <c r="H613" s="6">
        <f t="shared" si="630"/>
        <v>1</v>
      </c>
      <c r="I613" s="4">
        <f t="shared" si="631"/>
        <v>150795</v>
      </c>
      <c r="J613" s="22">
        <f>ROUND(VLOOKUP(D613,[1]物品容器!$T$3:$U$8,2,FALSE)*M613,0)*0.5</f>
        <v>150795</v>
      </c>
      <c r="K613" s="18">
        <f t="shared" si="632"/>
        <v>150795</v>
      </c>
      <c r="L613" s="18">
        <f t="shared" ref="L613:O613" si="670">ROUND($I613*L$2,0)</f>
        <v>90477</v>
      </c>
      <c r="M613" s="7">
        <v>1.0053</v>
      </c>
      <c r="N613" s="18">
        <f t="shared" si="670"/>
        <v>22619</v>
      </c>
      <c r="O613" s="18">
        <f t="shared" si="670"/>
        <v>2261925</v>
      </c>
      <c r="P613" s="18">
        <f t="shared" si="634"/>
        <v>1357.155</v>
      </c>
      <c r="Q613" s="18">
        <f t="shared" si="635"/>
        <v>7514</v>
      </c>
      <c r="R613" s="42" t="s">
        <v>1219</v>
      </c>
      <c r="S613" s="4" t="e">
        <f t="shared" si="636"/>
        <v>#N/A</v>
      </c>
      <c r="W613" s="4"/>
      <c r="X613" s="4"/>
      <c r="AD613" s="4" t="s">
        <v>1220</v>
      </c>
      <c r="AE613" s="4">
        <v>300100005</v>
      </c>
    </row>
    <row r="614" s="2" customFormat="1" spans="1:31">
      <c r="A614" s="4">
        <v>612</v>
      </c>
      <c r="B614" s="5" t="s">
        <v>1221</v>
      </c>
      <c r="C614" s="4" t="s">
        <v>1195</v>
      </c>
      <c r="D614" s="17" t="s">
        <v>26</v>
      </c>
      <c r="E614" s="4">
        <v>18</v>
      </c>
      <c r="F614" s="5">
        <v>1</v>
      </c>
      <c r="G614" s="5">
        <v>1</v>
      </c>
      <c r="H614" s="6">
        <f t="shared" si="630"/>
        <v>1</v>
      </c>
      <c r="I614" s="4">
        <f t="shared" si="631"/>
        <v>150330</v>
      </c>
      <c r="J614" s="22">
        <f>ROUND(VLOOKUP(D614,[1]物品容器!$T$3:$U$8,2,FALSE)*M614,0)*0.5</f>
        <v>150330</v>
      </c>
      <c r="K614" s="18">
        <f t="shared" si="632"/>
        <v>150330</v>
      </c>
      <c r="L614" s="18">
        <f t="shared" ref="L614:O614" si="671">ROUND($I614*L$2,0)</f>
        <v>90198</v>
      </c>
      <c r="M614" s="7">
        <v>1.0022</v>
      </c>
      <c r="N614" s="18">
        <f t="shared" si="671"/>
        <v>22550</v>
      </c>
      <c r="O614" s="18">
        <f t="shared" si="671"/>
        <v>2254950</v>
      </c>
      <c r="P614" s="18">
        <f t="shared" si="634"/>
        <v>1352.97</v>
      </c>
      <c r="Q614" s="18">
        <f t="shared" si="635"/>
        <v>7491</v>
      </c>
      <c r="R614" s="42" t="s">
        <v>1221</v>
      </c>
      <c r="S614" s="4" t="e">
        <f t="shared" si="636"/>
        <v>#N/A</v>
      </c>
      <c r="W614" s="4"/>
      <c r="X614" s="4"/>
      <c r="AD614" s="4" t="s">
        <v>1222</v>
      </c>
      <c r="AE614" s="4">
        <v>300100006</v>
      </c>
    </row>
    <row r="615" s="2" customFormat="1" spans="1:31">
      <c r="A615" s="4">
        <v>613</v>
      </c>
      <c r="B615" s="5" t="s">
        <v>1223</v>
      </c>
      <c r="C615" s="4" t="s">
        <v>1195</v>
      </c>
      <c r="D615" s="17" t="s">
        <v>26</v>
      </c>
      <c r="E615" s="4">
        <v>19</v>
      </c>
      <c r="F615" s="5">
        <v>1</v>
      </c>
      <c r="G615" s="5">
        <v>1</v>
      </c>
      <c r="H615" s="6">
        <f t="shared" si="630"/>
        <v>1</v>
      </c>
      <c r="I615" s="4">
        <f t="shared" si="631"/>
        <v>149265</v>
      </c>
      <c r="J615" s="22">
        <f>ROUND(VLOOKUP(D615,[1]物品容器!$T$3:$U$8,2,FALSE)*M615,0)*0.5</f>
        <v>149265</v>
      </c>
      <c r="K615" s="18">
        <f t="shared" si="632"/>
        <v>149265</v>
      </c>
      <c r="L615" s="18">
        <f t="shared" ref="L615:O615" si="672">ROUND($I615*L$2,0)</f>
        <v>89559</v>
      </c>
      <c r="M615" s="7">
        <v>0.9951</v>
      </c>
      <c r="N615" s="18">
        <f t="shared" si="672"/>
        <v>22390</v>
      </c>
      <c r="O615" s="18">
        <f t="shared" si="672"/>
        <v>2238975</v>
      </c>
      <c r="P615" s="18">
        <f t="shared" si="634"/>
        <v>1343.385</v>
      </c>
      <c r="Q615" s="18">
        <f t="shared" si="635"/>
        <v>7438</v>
      </c>
      <c r="R615" s="42" t="s">
        <v>1223</v>
      </c>
      <c r="S615" s="4" t="e">
        <f t="shared" si="636"/>
        <v>#N/A</v>
      </c>
      <c r="W615" s="4"/>
      <c r="X615" s="4"/>
      <c r="AD615" s="4" t="s">
        <v>1224</v>
      </c>
      <c r="AE615" s="4">
        <v>300100007</v>
      </c>
    </row>
    <row r="616" s="2" customFormat="1" spans="1:31">
      <c r="A616" s="4">
        <v>614</v>
      </c>
      <c r="B616" s="5" t="s">
        <v>1225</v>
      </c>
      <c r="C616" s="4" t="s">
        <v>1195</v>
      </c>
      <c r="D616" s="17" t="s">
        <v>26</v>
      </c>
      <c r="E616" s="4">
        <v>20</v>
      </c>
      <c r="F616" s="5">
        <v>1</v>
      </c>
      <c r="G616" s="5">
        <v>1</v>
      </c>
      <c r="H616" s="6">
        <f t="shared" si="630"/>
        <v>1</v>
      </c>
      <c r="I616" s="4">
        <f t="shared" si="631"/>
        <v>148875</v>
      </c>
      <c r="J616" s="22">
        <f>ROUND(VLOOKUP(D616,[1]物品容器!$T$3:$U$8,2,FALSE)*M616,0)*0.5</f>
        <v>148875</v>
      </c>
      <c r="K616" s="18">
        <f t="shared" si="632"/>
        <v>148875</v>
      </c>
      <c r="L616" s="18">
        <f t="shared" ref="L616:O616" si="673">ROUND($I616*L$2,0)</f>
        <v>89325</v>
      </c>
      <c r="M616" s="7">
        <v>0.9925</v>
      </c>
      <c r="N616" s="18">
        <f t="shared" si="673"/>
        <v>22331</v>
      </c>
      <c r="O616" s="18">
        <f t="shared" si="673"/>
        <v>2233125</v>
      </c>
      <c r="P616" s="18">
        <f t="shared" si="634"/>
        <v>1339.875</v>
      </c>
      <c r="Q616" s="18">
        <f t="shared" si="635"/>
        <v>7418</v>
      </c>
      <c r="R616" s="42" t="s">
        <v>1225</v>
      </c>
      <c r="S616" s="4" t="e">
        <f t="shared" si="636"/>
        <v>#N/A</v>
      </c>
      <c r="W616" s="4"/>
      <c r="X616" s="4"/>
      <c r="AD616" s="4" t="s">
        <v>1226</v>
      </c>
      <c r="AE616" s="4">
        <v>300100008</v>
      </c>
    </row>
    <row r="617" s="2" customFormat="1" spans="1:31">
      <c r="A617" s="4">
        <v>615</v>
      </c>
      <c r="B617" s="5" t="s">
        <v>1227</v>
      </c>
      <c r="C617" s="4" t="s">
        <v>1195</v>
      </c>
      <c r="D617" s="17" t="s">
        <v>26</v>
      </c>
      <c r="E617" s="4">
        <v>21</v>
      </c>
      <c r="F617" s="5">
        <v>1</v>
      </c>
      <c r="G617" s="5">
        <v>1</v>
      </c>
      <c r="H617" s="6">
        <f t="shared" si="630"/>
        <v>1</v>
      </c>
      <c r="I617" s="4">
        <f t="shared" si="631"/>
        <v>151215</v>
      </c>
      <c r="J617" s="22">
        <f>ROUND(VLOOKUP(D617,[1]物品容器!$T$3:$U$8,2,FALSE)*M617,0)*0.5</f>
        <v>151215</v>
      </c>
      <c r="K617" s="18">
        <f t="shared" si="632"/>
        <v>151215</v>
      </c>
      <c r="L617" s="18">
        <f t="shared" ref="L617:O617" si="674">ROUND($I617*L$2,0)</f>
        <v>90729</v>
      </c>
      <c r="M617" s="7">
        <v>1.0081</v>
      </c>
      <c r="N617" s="18">
        <f t="shared" si="674"/>
        <v>22682</v>
      </c>
      <c r="O617" s="18">
        <f t="shared" si="674"/>
        <v>2268225</v>
      </c>
      <c r="P617" s="18">
        <f t="shared" si="634"/>
        <v>1360.935</v>
      </c>
      <c r="Q617" s="18">
        <f t="shared" si="635"/>
        <v>7535</v>
      </c>
      <c r="R617" s="42" t="s">
        <v>1227</v>
      </c>
      <c r="S617" s="4" t="e">
        <f t="shared" si="636"/>
        <v>#N/A</v>
      </c>
      <c r="W617" s="4"/>
      <c r="X617" s="4"/>
      <c r="AD617" s="4" t="s">
        <v>1228</v>
      </c>
      <c r="AE617" s="4">
        <v>300100009</v>
      </c>
    </row>
    <row r="618" s="2" customFormat="1" spans="1:31">
      <c r="A618" s="4">
        <v>616</v>
      </c>
      <c r="B618" s="5" t="s">
        <v>1229</v>
      </c>
      <c r="C618" s="4" t="s">
        <v>1195</v>
      </c>
      <c r="D618" s="17" t="s">
        <v>26</v>
      </c>
      <c r="E618" s="4">
        <v>22</v>
      </c>
      <c r="F618" s="5">
        <v>1</v>
      </c>
      <c r="G618" s="5">
        <v>1</v>
      </c>
      <c r="H618" s="6">
        <f t="shared" si="630"/>
        <v>1</v>
      </c>
      <c r="I618" s="4">
        <f t="shared" si="631"/>
        <v>151500</v>
      </c>
      <c r="J618" s="22">
        <f>ROUND(VLOOKUP(D618,[1]物品容器!$T$3:$U$8,2,FALSE)*M618,0)*0.5</f>
        <v>151500</v>
      </c>
      <c r="K618" s="18">
        <f t="shared" si="632"/>
        <v>151500</v>
      </c>
      <c r="L618" s="18">
        <f t="shared" ref="L618:O618" si="675">ROUND($I618*L$2,0)</f>
        <v>90900</v>
      </c>
      <c r="M618" s="7">
        <v>1.01</v>
      </c>
      <c r="N618" s="18">
        <f t="shared" si="675"/>
        <v>22725</v>
      </c>
      <c r="O618" s="18">
        <f t="shared" si="675"/>
        <v>2272500</v>
      </c>
      <c r="P618" s="18">
        <f t="shared" si="634"/>
        <v>1363.5</v>
      </c>
      <c r="Q618" s="18">
        <f t="shared" si="635"/>
        <v>7549</v>
      </c>
      <c r="R618" s="42" t="s">
        <v>1229</v>
      </c>
      <c r="S618" s="4" t="e">
        <f t="shared" si="636"/>
        <v>#N/A</v>
      </c>
      <c r="W618" s="4"/>
      <c r="X618" s="4"/>
      <c r="AD618" s="4" t="s">
        <v>1230</v>
      </c>
      <c r="AE618" s="4">
        <v>300100010</v>
      </c>
    </row>
    <row r="619" s="2" customFormat="1" spans="1:31">
      <c r="A619" s="4">
        <v>617</v>
      </c>
      <c r="B619" s="5" t="s">
        <v>1231</v>
      </c>
      <c r="C619" s="4" t="s">
        <v>1195</v>
      </c>
      <c r="D619" s="17" t="s">
        <v>26</v>
      </c>
      <c r="E619" s="4">
        <v>23</v>
      </c>
      <c r="F619" s="5">
        <v>1</v>
      </c>
      <c r="G619" s="5">
        <v>1</v>
      </c>
      <c r="H619" s="6">
        <f t="shared" si="630"/>
        <v>1</v>
      </c>
      <c r="I619" s="4">
        <f t="shared" si="631"/>
        <v>149145</v>
      </c>
      <c r="J619" s="22">
        <f>ROUND(VLOOKUP(D619,[1]物品容器!$T$3:$U$8,2,FALSE)*M619,0)*0.5</f>
        <v>149145</v>
      </c>
      <c r="K619" s="18">
        <f t="shared" si="632"/>
        <v>149145</v>
      </c>
      <c r="L619" s="18">
        <f t="shared" ref="L619:O619" si="676">ROUND($I619*L$2,0)</f>
        <v>89487</v>
      </c>
      <c r="M619" s="7">
        <v>0.9943</v>
      </c>
      <c r="N619" s="18">
        <f t="shared" si="676"/>
        <v>22372</v>
      </c>
      <c r="O619" s="18">
        <f t="shared" si="676"/>
        <v>2237175</v>
      </c>
      <c r="P619" s="18">
        <f t="shared" si="634"/>
        <v>1342.305</v>
      </c>
      <c r="Q619" s="18">
        <f t="shared" si="635"/>
        <v>7432</v>
      </c>
      <c r="R619" s="42" t="s">
        <v>1231</v>
      </c>
      <c r="S619" s="4" t="e">
        <f t="shared" si="636"/>
        <v>#N/A</v>
      </c>
      <c r="W619" s="4"/>
      <c r="X619" s="4"/>
      <c r="AD619" s="4" t="s">
        <v>1232</v>
      </c>
      <c r="AE619" s="4">
        <v>300100011</v>
      </c>
    </row>
    <row r="620" s="2" customFormat="1" spans="1:31">
      <c r="A620" s="4">
        <v>618</v>
      </c>
      <c r="B620" s="5" t="s">
        <v>1233</v>
      </c>
      <c r="C620" s="4" t="s">
        <v>1195</v>
      </c>
      <c r="D620" s="17" t="s">
        <v>26</v>
      </c>
      <c r="E620" s="4">
        <v>24</v>
      </c>
      <c r="F620" s="5">
        <v>1</v>
      </c>
      <c r="G620" s="5">
        <v>1</v>
      </c>
      <c r="H620" s="6">
        <f t="shared" si="630"/>
        <v>1</v>
      </c>
      <c r="I620" s="4">
        <f t="shared" si="631"/>
        <v>150300</v>
      </c>
      <c r="J620" s="22">
        <f>ROUND(VLOOKUP(D620,[1]物品容器!$T$3:$U$8,2,FALSE)*M620,0)*0.5</f>
        <v>150300</v>
      </c>
      <c r="K620" s="18">
        <f t="shared" si="632"/>
        <v>150300</v>
      </c>
      <c r="L620" s="18">
        <f t="shared" ref="L620:O620" si="677">ROUND($I620*L$2,0)</f>
        <v>90180</v>
      </c>
      <c r="M620" s="7">
        <v>1.002</v>
      </c>
      <c r="N620" s="18">
        <f t="shared" si="677"/>
        <v>22545</v>
      </c>
      <c r="O620" s="18">
        <f t="shared" si="677"/>
        <v>2254500</v>
      </c>
      <c r="P620" s="18">
        <f t="shared" si="634"/>
        <v>1352.7</v>
      </c>
      <c r="Q620" s="18">
        <f t="shared" si="635"/>
        <v>7489</v>
      </c>
      <c r="R620" s="42" t="s">
        <v>1233</v>
      </c>
      <c r="S620" s="4" t="e">
        <f t="shared" si="636"/>
        <v>#N/A</v>
      </c>
      <c r="W620" s="4"/>
      <c r="X620" s="4"/>
      <c r="AD620" s="4" t="s">
        <v>1234</v>
      </c>
      <c r="AE620" s="4">
        <v>300100012</v>
      </c>
    </row>
    <row r="621" s="2" customFormat="1" spans="1:31">
      <c r="A621" s="4">
        <v>619</v>
      </c>
      <c r="B621" s="5" t="s">
        <v>1235</v>
      </c>
      <c r="C621" s="4" t="s">
        <v>1195</v>
      </c>
      <c r="D621" s="17" t="s">
        <v>26</v>
      </c>
      <c r="E621" s="4">
        <v>25</v>
      </c>
      <c r="F621" s="5">
        <v>1</v>
      </c>
      <c r="G621" s="5">
        <v>1</v>
      </c>
      <c r="H621" s="6">
        <f t="shared" si="630"/>
        <v>1</v>
      </c>
      <c r="I621" s="4">
        <f t="shared" si="631"/>
        <v>149445</v>
      </c>
      <c r="J621" s="22">
        <f>ROUND(VLOOKUP(D621,[1]物品容器!$T$3:$U$8,2,FALSE)*M621,0)*0.5</f>
        <v>149445</v>
      </c>
      <c r="K621" s="18">
        <f t="shared" si="632"/>
        <v>149445</v>
      </c>
      <c r="L621" s="18">
        <f t="shared" ref="L621:O621" si="678">ROUND($I621*L$2,0)</f>
        <v>89667</v>
      </c>
      <c r="M621" s="7">
        <v>0.9963</v>
      </c>
      <c r="N621" s="18">
        <f t="shared" si="678"/>
        <v>22417</v>
      </c>
      <c r="O621" s="18">
        <f t="shared" si="678"/>
        <v>2241675</v>
      </c>
      <c r="P621" s="18">
        <f t="shared" si="634"/>
        <v>1345.005</v>
      </c>
      <c r="Q621" s="18">
        <f t="shared" si="635"/>
        <v>7447</v>
      </c>
      <c r="R621" s="42" t="s">
        <v>1235</v>
      </c>
      <c r="S621" s="4" t="e">
        <f t="shared" si="636"/>
        <v>#N/A</v>
      </c>
      <c r="W621" s="4"/>
      <c r="X621" s="4"/>
      <c r="AD621" s="4" t="s">
        <v>1236</v>
      </c>
      <c r="AE621" s="4">
        <v>300100013</v>
      </c>
    </row>
    <row r="622" s="2" customFormat="1" spans="1:31">
      <c r="A622" s="4">
        <v>620</v>
      </c>
      <c r="B622" s="5" t="s">
        <v>1237</v>
      </c>
      <c r="C622" s="4" t="s">
        <v>1195</v>
      </c>
      <c r="D622" s="17" t="s">
        <v>26</v>
      </c>
      <c r="E622" s="4">
        <v>26</v>
      </c>
      <c r="F622" s="5">
        <v>1</v>
      </c>
      <c r="G622" s="5">
        <v>1</v>
      </c>
      <c r="H622" s="6">
        <f t="shared" si="630"/>
        <v>1</v>
      </c>
      <c r="I622" s="4">
        <f t="shared" si="631"/>
        <v>150150</v>
      </c>
      <c r="J622" s="22">
        <f>ROUND(VLOOKUP(D622,[1]物品容器!$T$3:$U$8,2,FALSE)*M622,0)*0.5</f>
        <v>150150</v>
      </c>
      <c r="K622" s="18">
        <f t="shared" si="632"/>
        <v>150150</v>
      </c>
      <c r="L622" s="18">
        <f t="shared" ref="L622:O622" si="679">ROUND($I622*L$2,0)</f>
        <v>90090</v>
      </c>
      <c r="M622" s="7">
        <v>1.001</v>
      </c>
      <c r="N622" s="18">
        <f t="shared" si="679"/>
        <v>22523</v>
      </c>
      <c r="O622" s="18">
        <f t="shared" si="679"/>
        <v>2252250</v>
      </c>
      <c r="P622" s="18">
        <f t="shared" si="634"/>
        <v>1351.35</v>
      </c>
      <c r="Q622" s="18">
        <f t="shared" si="635"/>
        <v>7482</v>
      </c>
      <c r="R622" s="42" t="s">
        <v>1237</v>
      </c>
      <c r="S622" s="4" t="e">
        <f t="shared" si="636"/>
        <v>#N/A</v>
      </c>
      <c r="W622" s="4"/>
      <c r="X622" s="4"/>
      <c r="AD622" s="4" t="s">
        <v>1238</v>
      </c>
      <c r="AE622" s="4">
        <v>300100014</v>
      </c>
    </row>
    <row r="623" s="2" customFormat="1" spans="1:31">
      <c r="A623" s="4">
        <v>621</v>
      </c>
      <c r="B623" s="5" t="s">
        <v>1239</v>
      </c>
      <c r="C623" s="4" t="s">
        <v>1195</v>
      </c>
      <c r="D623" s="17" t="s">
        <v>26</v>
      </c>
      <c r="E623" s="4">
        <v>27</v>
      </c>
      <c r="F623" s="5">
        <v>1</v>
      </c>
      <c r="G623" s="5">
        <v>1</v>
      </c>
      <c r="H623" s="6">
        <f t="shared" si="630"/>
        <v>1</v>
      </c>
      <c r="I623" s="4">
        <f t="shared" si="631"/>
        <v>149100</v>
      </c>
      <c r="J623" s="22">
        <f>ROUND(VLOOKUP(D623,[1]物品容器!$T$3:$U$8,2,FALSE)*M623,0)*0.5</f>
        <v>149100</v>
      </c>
      <c r="K623" s="18">
        <f t="shared" si="632"/>
        <v>149100</v>
      </c>
      <c r="L623" s="18">
        <f t="shared" ref="L623:O623" si="680">ROUND($I623*L$2,0)</f>
        <v>89460</v>
      </c>
      <c r="M623" s="7">
        <v>0.994</v>
      </c>
      <c r="N623" s="18">
        <f t="shared" si="680"/>
        <v>22365</v>
      </c>
      <c r="O623" s="18">
        <f t="shared" si="680"/>
        <v>2236500</v>
      </c>
      <c r="P623" s="18">
        <f t="shared" si="634"/>
        <v>1341.9</v>
      </c>
      <c r="Q623" s="18">
        <f t="shared" si="635"/>
        <v>7429</v>
      </c>
      <c r="R623" s="42" t="s">
        <v>1239</v>
      </c>
      <c r="S623" s="4" t="e">
        <f t="shared" si="636"/>
        <v>#N/A</v>
      </c>
      <c r="W623" s="4"/>
      <c r="X623" s="4"/>
      <c r="AD623" s="4" t="s">
        <v>1240</v>
      </c>
      <c r="AE623" s="4">
        <v>300100015</v>
      </c>
    </row>
    <row r="624" s="2" customFormat="1" spans="1:31">
      <c r="A624" s="4">
        <v>622</v>
      </c>
      <c r="B624" s="5" t="s">
        <v>1241</v>
      </c>
      <c r="C624" s="4" t="s">
        <v>1195</v>
      </c>
      <c r="D624" s="17" t="s">
        <v>26</v>
      </c>
      <c r="E624" s="4">
        <v>28</v>
      </c>
      <c r="F624" s="5">
        <v>1</v>
      </c>
      <c r="G624" s="5">
        <v>1</v>
      </c>
      <c r="H624" s="6">
        <f t="shared" si="630"/>
        <v>1</v>
      </c>
      <c r="I624" s="4">
        <f t="shared" si="631"/>
        <v>149370</v>
      </c>
      <c r="J624" s="22">
        <f>ROUND(VLOOKUP(D624,[1]物品容器!$T$3:$U$8,2,FALSE)*M624,0)*0.5</f>
        <v>149370</v>
      </c>
      <c r="K624" s="18">
        <f t="shared" si="632"/>
        <v>149370</v>
      </c>
      <c r="L624" s="18">
        <f t="shared" ref="L624:O624" si="681">ROUND($I624*L$2,0)</f>
        <v>89622</v>
      </c>
      <c r="M624" s="7">
        <v>0.9958</v>
      </c>
      <c r="N624" s="18">
        <f t="shared" si="681"/>
        <v>22406</v>
      </c>
      <c r="O624" s="18">
        <f t="shared" si="681"/>
        <v>2240550</v>
      </c>
      <c r="P624" s="18">
        <f t="shared" si="634"/>
        <v>1344.33</v>
      </c>
      <c r="Q624" s="18">
        <f t="shared" si="635"/>
        <v>7443</v>
      </c>
      <c r="R624" s="42" t="s">
        <v>1241</v>
      </c>
      <c r="S624" s="4" t="e">
        <f t="shared" si="636"/>
        <v>#N/A</v>
      </c>
      <c r="W624" s="4"/>
      <c r="X624" s="4"/>
      <c r="AD624" s="4" t="s">
        <v>1242</v>
      </c>
      <c r="AE624" s="4">
        <v>300100016</v>
      </c>
    </row>
    <row r="625" s="2" customFormat="1" spans="1:31">
      <c r="A625" s="4">
        <v>623</v>
      </c>
      <c r="B625" s="5" t="s">
        <v>1243</v>
      </c>
      <c r="C625" s="4" t="s">
        <v>1195</v>
      </c>
      <c r="D625" s="17" t="s">
        <v>26</v>
      </c>
      <c r="E625" s="4">
        <v>29</v>
      </c>
      <c r="F625" s="5">
        <v>1</v>
      </c>
      <c r="G625" s="5">
        <v>1</v>
      </c>
      <c r="H625" s="6">
        <f t="shared" si="630"/>
        <v>1</v>
      </c>
      <c r="I625" s="4">
        <f t="shared" si="631"/>
        <v>150510</v>
      </c>
      <c r="J625" s="22">
        <f>ROUND(VLOOKUP(D625,[1]物品容器!$T$3:$U$8,2,FALSE)*M625,0)*0.5</f>
        <v>150510</v>
      </c>
      <c r="K625" s="18">
        <f t="shared" si="632"/>
        <v>150510</v>
      </c>
      <c r="L625" s="18">
        <f t="shared" ref="L625:O625" si="682">ROUND($I625*L$2,0)</f>
        <v>90306</v>
      </c>
      <c r="M625" s="7">
        <v>1.0034</v>
      </c>
      <c r="N625" s="18">
        <f t="shared" si="682"/>
        <v>22577</v>
      </c>
      <c r="O625" s="18">
        <f t="shared" si="682"/>
        <v>2257650</v>
      </c>
      <c r="P625" s="18">
        <f t="shared" si="634"/>
        <v>1354.59</v>
      </c>
      <c r="Q625" s="18">
        <f t="shared" si="635"/>
        <v>7500</v>
      </c>
      <c r="R625" s="42" t="s">
        <v>1243</v>
      </c>
      <c r="S625" s="4" t="e">
        <f t="shared" si="636"/>
        <v>#N/A</v>
      </c>
      <c r="W625" s="4"/>
      <c r="X625" s="4"/>
      <c r="AD625" s="4" t="s">
        <v>1244</v>
      </c>
      <c r="AE625" s="4">
        <v>300100017</v>
      </c>
    </row>
    <row r="626" s="2" customFormat="1" spans="1:31">
      <c r="A626" s="4">
        <v>624</v>
      </c>
      <c r="B626" s="5" t="s">
        <v>1245</v>
      </c>
      <c r="C626" s="4" t="s">
        <v>1195</v>
      </c>
      <c r="D626" s="17" t="s">
        <v>26</v>
      </c>
      <c r="E626" s="4">
        <v>30</v>
      </c>
      <c r="F626" s="5">
        <v>1</v>
      </c>
      <c r="G626" s="5">
        <v>1</v>
      </c>
      <c r="H626" s="6">
        <f t="shared" si="630"/>
        <v>1</v>
      </c>
      <c r="I626" s="4">
        <f t="shared" si="631"/>
        <v>151290</v>
      </c>
      <c r="J626" s="22">
        <f>ROUND(VLOOKUP(D626,[1]物品容器!$T$3:$U$8,2,FALSE)*M626,0)*0.5</f>
        <v>151290</v>
      </c>
      <c r="K626" s="18">
        <f t="shared" si="632"/>
        <v>151290</v>
      </c>
      <c r="L626" s="18">
        <f t="shared" ref="L626:O626" si="683">ROUND($I626*L$2,0)</f>
        <v>90774</v>
      </c>
      <c r="M626" s="7">
        <v>1.0086</v>
      </c>
      <c r="N626" s="18">
        <f t="shared" si="683"/>
        <v>22694</v>
      </c>
      <c r="O626" s="18">
        <f t="shared" si="683"/>
        <v>2269350</v>
      </c>
      <c r="P626" s="18">
        <f t="shared" si="634"/>
        <v>1361.61</v>
      </c>
      <c r="Q626" s="18">
        <f t="shared" si="635"/>
        <v>7539</v>
      </c>
      <c r="R626" s="42" t="s">
        <v>1245</v>
      </c>
      <c r="S626" s="4" t="e">
        <f t="shared" si="636"/>
        <v>#N/A</v>
      </c>
      <c r="W626" s="4"/>
      <c r="X626" s="4"/>
      <c r="AD626" s="4" t="s">
        <v>1246</v>
      </c>
      <c r="AE626" s="4">
        <v>300100018</v>
      </c>
    </row>
    <row r="627" s="2" customFormat="1" spans="1:31">
      <c r="A627" s="4">
        <v>625</v>
      </c>
      <c r="B627" s="5" t="s">
        <v>1247</v>
      </c>
      <c r="C627" s="4" t="s">
        <v>1195</v>
      </c>
      <c r="D627" s="17" t="s">
        <v>26</v>
      </c>
      <c r="E627" s="4">
        <v>31</v>
      </c>
      <c r="F627" s="5">
        <v>1</v>
      </c>
      <c r="G627" s="5">
        <v>1</v>
      </c>
      <c r="H627" s="6">
        <f t="shared" si="630"/>
        <v>1</v>
      </c>
      <c r="I627" s="4">
        <f t="shared" si="631"/>
        <v>149325</v>
      </c>
      <c r="J627" s="22">
        <f>ROUND(VLOOKUP(D627,[1]物品容器!$T$3:$U$8,2,FALSE)*M627,0)*0.5</f>
        <v>149325</v>
      </c>
      <c r="K627" s="18">
        <f t="shared" si="632"/>
        <v>149325</v>
      </c>
      <c r="L627" s="18">
        <f t="shared" ref="L627:O627" si="684">ROUND($I627*L$2,0)</f>
        <v>89595</v>
      </c>
      <c r="M627" s="7">
        <v>0.9955</v>
      </c>
      <c r="N627" s="18">
        <f t="shared" si="684"/>
        <v>22399</v>
      </c>
      <c r="O627" s="18">
        <f t="shared" si="684"/>
        <v>2239875</v>
      </c>
      <c r="P627" s="18">
        <f t="shared" si="634"/>
        <v>1343.925</v>
      </c>
      <c r="Q627" s="18">
        <f t="shared" si="635"/>
        <v>7441</v>
      </c>
      <c r="R627" s="42" t="s">
        <v>1247</v>
      </c>
      <c r="S627" s="4" t="e">
        <f t="shared" si="636"/>
        <v>#N/A</v>
      </c>
      <c r="W627" s="4"/>
      <c r="X627" s="4"/>
      <c r="AD627" s="4" t="s">
        <v>1248</v>
      </c>
      <c r="AE627" s="4">
        <v>300100019</v>
      </c>
    </row>
    <row r="628" s="2" customFormat="1" spans="1:31">
      <c r="A628" s="4">
        <v>626</v>
      </c>
      <c r="B628" s="5" t="s">
        <v>1249</v>
      </c>
      <c r="C628" s="4" t="s">
        <v>1195</v>
      </c>
      <c r="D628" s="17" t="s">
        <v>26</v>
      </c>
      <c r="E628" s="4">
        <v>32</v>
      </c>
      <c r="F628" s="5">
        <v>1</v>
      </c>
      <c r="G628" s="5">
        <v>1</v>
      </c>
      <c r="H628" s="6">
        <f t="shared" si="630"/>
        <v>1</v>
      </c>
      <c r="I628" s="4">
        <f t="shared" si="631"/>
        <v>151050</v>
      </c>
      <c r="J628" s="22">
        <f>ROUND(VLOOKUP(D628,[1]物品容器!$T$3:$U$8,2,FALSE)*M628,0)*0.5</f>
        <v>151050</v>
      </c>
      <c r="K628" s="18">
        <f t="shared" si="632"/>
        <v>151050</v>
      </c>
      <c r="L628" s="18">
        <f t="shared" ref="L628:O628" si="685">ROUND($I628*L$2,0)</f>
        <v>90630</v>
      </c>
      <c r="M628" s="7">
        <v>1.007</v>
      </c>
      <c r="N628" s="18">
        <f t="shared" si="685"/>
        <v>22658</v>
      </c>
      <c r="O628" s="18">
        <f t="shared" si="685"/>
        <v>2265750</v>
      </c>
      <c r="P628" s="18">
        <f t="shared" si="634"/>
        <v>1359.45</v>
      </c>
      <c r="Q628" s="18">
        <f t="shared" si="635"/>
        <v>7527</v>
      </c>
      <c r="R628" s="42" t="s">
        <v>1249</v>
      </c>
      <c r="S628" s="4" t="e">
        <f t="shared" si="636"/>
        <v>#N/A</v>
      </c>
      <c r="W628" s="4"/>
      <c r="X628" s="4"/>
      <c r="AD628" s="4" t="s">
        <v>1250</v>
      </c>
      <c r="AE628" s="4">
        <v>300100020</v>
      </c>
    </row>
    <row r="629" s="2" customFormat="1" spans="1:31">
      <c r="A629" s="4">
        <v>627</v>
      </c>
      <c r="B629" s="5" t="s">
        <v>1251</v>
      </c>
      <c r="C629" s="4" t="s">
        <v>1195</v>
      </c>
      <c r="D629" s="22" t="s">
        <v>41</v>
      </c>
      <c r="E629" s="4">
        <v>33</v>
      </c>
      <c r="F629" s="5">
        <v>1</v>
      </c>
      <c r="G629" s="5">
        <v>1</v>
      </c>
      <c r="H629" s="6">
        <f t="shared" si="630"/>
        <v>1</v>
      </c>
      <c r="I629" s="4">
        <f t="shared" si="631"/>
        <v>49625</v>
      </c>
      <c r="J629" s="22">
        <f>ROUND(VLOOKUP(D629,[1]物品容器!$T$3:$U$8,2,FALSE)*M629,0)*0.5</f>
        <v>49625</v>
      </c>
      <c r="K629" s="18">
        <f t="shared" si="632"/>
        <v>49625</v>
      </c>
      <c r="L629" s="18">
        <f t="shared" ref="L629:O629" si="686">ROUND($I629*L$2,0)</f>
        <v>29775</v>
      </c>
      <c r="M629" s="7">
        <v>0.9925</v>
      </c>
      <c r="N629" s="18">
        <f t="shared" si="686"/>
        <v>7444</v>
      </c>
      <c r="O629" s="18">
        <f t="shared" si="686"/>
        <v>744375</v>
      </c>
      <c r="P629" s="18">
        <f t="shared" si="634"/>
        <v>446.625</v>
      </c>
      <c r="Q629" s="18">
        <f t="shared" si="635"/>
        <v>2473</v>
      </c>
      <c r="R629" s="42" t="s">
        <v>1251</v>
      </c>
      <c r="S629" s="4" t="e">
        <f t="shared" si="636"/>
        <v>#N/A</v>
      </c>
      <c r="W629" s="4"/>
      <c r="X629" s="4"/>
      <c r="AD629" s="4" t="s">
        <v>1252</v>
      </c>
      <c r="AE629" s="4">
        <v>300100021</v>
      </c>
    </row>
    <row r="630" s="2" customFormat="1" spans="1:31">
      <c r="A630" s="4">
        <v>628</v>
      </c>
      <c r="B630" s="5" t="s">
        <v>1253</v>
      </c>
      <c r="C630" s="4" t="s">
        <v>1195</v>
      </c>
      <c r="D630" s="22" t="s">
        <v>41</v>
      </c>
      <c r="E630" s="4">
        <v>34</v>
      </c>
      <c r="F630" s="5">
        <v>1</v>
      </c>
      <c r="G630" s="5">
        <v>1</v>
      </c>
      <c r="H630" s="6">
        <f t="shared" si="630"/>
        <v>1</v>
      </c>
      <c r="I630" s="4">
        <f t="shared" si="631"/>
        <v>49545</v>
      </c>
      <c r="J630" s="22">
        <f>ROUND(VLOOKUP(D630,[1]物品容器!$T$3:$U$8,2,FALSE)*M630,0)*0.5</f>
        <v>49545</v>
      </c>
      <c r="K630" s="18">
        <f t="shared" si="632"/>
        <v>49545</v>
      </c>
      <c r="L630" s="18">
        <f t="shared" ref="L630:O630" si="687">ROUND($I630*L$2,0)</f>
        <v>29727</v>
      </c>
      <c r="M630" s="7">
        <v>0.9909</v>
      </c>
      <c r="N630" s="18">
        <f t="shared" si="687"/>
        <v>7432</v>
      </c>
      <c r="O630" s="18">
        <f t="shared" si="687"/>
        <v>743175</v>
      </c>
      <c r="P630" s="18">
        <f t="shared" si="634"/>
        <v>445.905</v>
      </c>
      <c r="Q630" s="18">
        <f t="shared" si="635"/>
        <v>2469</v>
      </c>
      <c r="R630" s="42" t="s">
        <v>1253</v>
      </c>
      <c r="S630" s="4" t="e">
        <f t="shared" si="636"/>
        <v>#N/A</v>
      </c>
      <c r="W630" s="4"/>
      <c r="X630" s="4"/>
      <c r="AD630" s="4" t="s">
        <v>1254</v>
      </c>
      <c r="AE630" s="4">
        <v>300100022</v>
      </c>
    </row>
    <row r="631" s="2" customFormat="1" spans="1:31">
      <c r="A631" s="4">
        <v>629</v>
      </c>
      <c r="B631" s="5" t="s">
        <v>1255</v>
      </c>
      <c r="C631" s="4" t="s">
        <v>1195</v>
      </c>
      <c r="D631" s="22" t="s">
        <v>41</v>
      </c>
      <c r="E631" s="4">
        <v>35</v>
      </c>
      <c r="F631" s="5">
        <v>1</v>
      </c>
      <c r="G631" s="5">
        <v>1</v>
      </c>
      <c r="H631" s="6">
        <f t="shared" si="630"/>
        <v>1</v>
      </c>
      <c r="I631" s="4">
        <f t="shared" si="631"/>
        <v>50040</v>
      </c>
      <c r="J631" s="22">
        <f>ROUND(VLOOKUP(D631,[1]物品容器!$T$3:$U$8,2,FALSE)*M631,0)*0.5</f>
        <v>50040</v>
      </c>
      <c r="K631" s="18">
        <f t="shared" si="632"/>
        <v>50040</v>
      </c>
      <c r="L631" s="18">
        <f t="shared" ref="L631:O631" si="688">ROUND($I631*L$2,0)</f>
        <v>30024</v>
      </c>
      <c r="M631" s="7">
        <v>1.0008</v>
      </c>
      <c r="N631" s="18">
        <f t="shared" si="688"/>
        <v>7506</v>
      </c>
      <c r="O631" s="18">
        <f t="shared" si="688"/>
        <v>750600</v>
      </c>
      <c r="P631" s="18">
        <f t="shared" si="634"/>
        <v>450.36</v>
      </c>
      <c r="Q631" s="18">
        <f t="shared" si="635"/>
        <v>2493</v>
      </c>
      <c r="R631" s="42" t="s">
        <v>1255</v>
      </c>
      <c r="S631" s="4" t="e">
        <f t="shared" si="636"/>
        <v>#N/A</v>
      </c>
      <c r="W631" s="4"/>
      <c r="X631" s="4"/>
      <c r="AD631" s="4" t="s">
        <v>1256</v>
      </c>
      <c r="AE631" s="4">
        <v>300100023</v>
      </c>
    </row>
    <row r="632" s="2" customFormat="1" spans="1:31">
      <c r="A632" s="4">
        <v>630</v>
      </c>
      <c r="B632" s="5" t="s">
        <v>1257</v>
      </c>
      <c r="C632" s="4" t="s">
        <v>1195</v>
      </c>
      <c r="D632" s="22" t="s">
        <v>41</v>
      </c>
      <c r="E632" s="4">
        <v>36</v>
      </c>
      <c r="F632" s="5">
        <v>1</v>
      </c>
      <c r="G632" s="5">
        <v>1</v>
      </c>
      <c r="H632" s="6">
        <f t="shared" si="630"/>
        <v>1</v>
      </c>
      <c r="I632" s="4">
        <f t="shared" si="631"/>
        <v>50330</v>
      </c>
      <c r="J632" s="22">
        <f>ROUND(VLOOKUP(D632,[1]物品容器!$T$3:$U$8,2,FALSE)*M632,0)*0.5</f>
        <v>50330</v>
      </c>
      <c r="K632" s="18">
        <f t="shared" si="632"/>
        <v>50330</v>
      </c>
      <c r="L632" s="18">
        <f t="shared" ref="L632:O632" si="689">ROUND($I632*L$2,0)</f>
        <v>30198</v>
      </c>
      <c r="M632" s="7">
        <v>1.0066</v>
      </c>
      <c r="N632" s="18">
        <f t="shared" si="689"/>
        <v>7550</v>
      </c>
      <c r="O632" s="18">
        <f t="shared" si="689"/>
        <v>754950</v>
      </c>
      <c r="P632" s="18">
        <f t="shared" si="634"/>
        <v>452.97</v>
      </c>
      <c r="Q632" s="18">
        <f t="shared" si="635"/>
        <v>2508</v>
      </c>
      <c r="R632" s="42" t="s">
        <v>1257</v>
      </c>
      <c r="S632" s="4" t="e">
        <f t="shared" si="636"/>
        <v>#N/A</v>
      </c>
      <c r="W632" s="4"/>
      <c r="X632" s="4"/>
      <c r="AD632" s="4" t="s">
        <v>1258</v>
      </c>
      <c r="AE632" s="4">
        <v>300100024</v>
      </c>
    </row>
    <row r="633" s="2" customFormat="1" spans="1:31">
      <c r="A633" s="4">
        <v>631</v>
      </c>
      <c r="B633" s="5" t="s">
        <v>1259</v>
      </c>
      <c r="C633" s="4" t="s">
        <v>1195</v>
      </c>
      <c r="D633" s="22" t="s">
        <v>41</v>
      </c>
      <c r="E633" s="4">
        <v>37</v>
      </c>
      <c r="F633" s="5">
        <v>1</v>
      </c>
      <c r="G633" s="5">
        <v>1</v>
      </c>
      <c r="H633" s="6">
        <f t="shared" si="630"/>
        <v>1</v>
      </c>
      <c r="I633" s="4">
        <f t="shared" si="631"/>
        <v>49580</v>
      </c>
      <c r="J633" s="22">
        <f>ROUND(VLOOKUP(D633,[1]物品容器!$T$3:$U$8,2,FALSE)*M633,0)*0.5</f>
        <v>49580</v>
      </c>
      <c r="K633" s="18">
        <f t="shared" si="632"/>
        <v>49580</v>
      </c>
      <c r="L633" s="18">
        <f t="shared" ref="L633:O633" si="690">ROUND($I633*L$2,0)</f>
        <v>29748</v>
      </c>
      <c r="M633" s="7">
        <v>0.9916</v>
      </c>
      <c r="N633" s="18">
        <f t="shared" si="690"/>
        <v>7437</v>
      </c>
      <c r="O633" s="18">
        <f t="shared" si="690"/>
        <v>743700</v>
      </c>
      <c r="P633" s="18">
        <f t="shared" si="634"/>
        <v>446.22</v>
      </c>
      <c r="Q633" s="18">
        <f t="shared" si="635"/>
        <v>2471</v>
      </c>
      <c r="R633" s="42" t="s">
        <v>1259</v>
      </c>
      <c r="S633" s="4" t="e">
        <f t="shared" si="636"/>
        <v>#N/A</v>
      </c>
      <c r="W633" s="4"/>
      <c r="X633" s="4"/>
      <c r="AD633" s="4" t="s">
        <v>1260</v>
      </c>
      <c r="AE633" s="4">
        <v>300100025</v>
      </c>
    </row>
    <row r="634" s="2" customFormat="1" spans="1:31">
      <c r="A634" s="4">
        <v>632</v>
      </c>
      <c r="B634" s="5" t="s">
        <v>1261</v>
      </c>
      <c r="C634" s="4" t="s">
        <v>1195</v>
      </c>
      <c r="D634" s="22" t="s">
        <v>41</v>
      </c>
      <c r="E634" s="4">
        <v>38</v>
      </c>
      <c r="F634" s="5">
        <v>1</v>
      </c>
      <c r="G634" s="5">
        <v>1</v>
      </c>
      <c r="H634" s="6">
        <f t="shared" si="630"/>
        <v>1</v>
      </c>
      <c r="I634" s="4">
        <f t="shared" si="631"/>
        <v>49755</v>
      </c>
      <c r="J634" s="22">
        <f>ROUND(VLOOKUP(D634,[1]物品容器!$T$3:$U$8,2,FALSE)*M634,0)*0.5</f>
        <v>49755</v>
      </c>
      <c r="K634" s="18">
        <f t="shared" si="632"/>
        <v>49755</v>
      </c>
      <c r="L634" s="18">
        <f t="shared" ref="L634:O634" si="691">ROUND($I634*L$2,0)</f>
        <v>29853</v>
      </c>
      <c r="M634" s="7">
        <v>0.9951</v>
      </c>
      <c r="N634" s="18">
        <f t="shared" si="691"/>
        <v>7463</v>
      </c>
      <c r="O634" s="18">
        <f t="shared" si="691"/>
        <v>746325</v>
      </c>
      <c r="P634" s="18">
        <f t="shared" si="634"/>
        <v>447.795</v>
      </c>
      <c r="Q634" s="18">
        <f t="shared" si="635"/>
        <v>2479</v>
      </c>
      <c r="R634" s="42" t="s">
        <v>1261</v>
      </c>
      <c r="S634" s="4" t="e">
        <f t="shared" si="636"/>
        <v>#N/A</v>
      </c>
      <c r="W634" s="4"/>
      <c r="X634" s="4"/>
      <c r="AD634" s="4" t="s">
        <v>1262</v>
      </c>
      <c r="AE634" s="4">
        <v>300100026</v>
      </c>
    </row>
    <row r="635" s="2" customFormat="1" spans="1:31">
      <c r="A635" s="4">
        <v>633</v>
      </c>
      <c r="B635" s="5" t="s">
        <v>1263</v>
      </c>
      <c r="C635" s="4" t="s">
        <v>1195</v>
      </c>
      <c r="D635" s="22" t="s">
        <v>41</v>
      </c>
      <c r="E635" s="4">
        <v>39</v>
      </c>
      <c r="F635" s="5">
        <v>1</v>
      </c>
      <c r="G635" s="5">
        <v>1</v>
      </c>
      <c r="H635" s="6">
        <f t="shared" si="630"/>
        <v>1</v>
      </c>
      <c r="I635" s="4">
        <f t="shared" si="631"/>
        <v>49550</v>
      </c>
      <c r="J635" s="22">
        <f>ROUND(VLOOKUP(D635,[1]物品容器!$T$3:$U$8,2,FALSE)*M635,0)*0.5</f>
        <v>49550</v>
      </c>
      <c r="K635" s="18">
        <f t="shared" si="632"/>
        <v>49550</v>
      </c>
      <c r="L635" s="18">
        <f t="shared" ref="L635:O635" si="692">ROUND($I635*L$2,0)</f>
        <v>29730</v>
      </c>
      <c r="M635" s="7">
        <v>0.991</v>
      </c>
      <c r="N635" s="18">
        <f t="shared" si="692"/>
        <v>7433</v>
      </c>
      <c r="O635" s="18">
        <f t="shared" si="692"/>
        <v>743250</v>
      </c>
      <c r="P635" s="18">
        <f t="shared" si="634"/>
        <v>445.95</v>
      </c>
      <c r="Q635" s="18">
        <f t="shared" si="635"/>
        <v>2469</v>
      </c>
      <c r="R635" s="42" t="s">
        <v>1263</v>
      </c>
      <c r="S635" s="4" t="e">
        <f t="shared" si="636"/>
        <v>#N/A</v>
      </c>
      <c r="W635" s="4"/>
      <c r="X635" s="4"/>
      <c r="AD635" s="4" t="s">
        <v>1264</v>
      </c>
      <c r="AE635" s="4">
        <v>300100027</v>
      </c>
    </row>
    <row r="636" s="2" customFormat="1" spans="1:31">
      <c r="A636" s="4">
        <v>634</v>
      </c>
      <c r="B636" s="5" t="s">
        <v>1265</v>
      </c>
      <c r="C636" s="4" t="s">
        <v>1195</v>
      </c>
      <c r="D636" s="22" t="s">
        <v>41</v>
      </c>
      <c r="E636" s="4">
        <v>40</v>
      </c>
      <c r="F636" s="5">
        <v>1</v>
      </c>
      <c r="G636" s="5">
        <v>1</v>
      </c>
      <c r="H636" s="6">
        <f t="shared" si="630"/>
        <v>1</v>
      </c>
      <c r="I636" s="4">
        <f t="shared" si="631"/>
        <v>50275</v>
      </c>
      <c r="J636" s="22">
        <f>ROUND(VLOOKUP(D636,[1]物品容器!$T$3:$U$8,2,FALSE)*M636,0)*0.5</f>
        <v>50275</v>
      </c>
      <c r="K636" s="18">
        <f t="shared" si="632"/>
        <v>50275</v>
      </c>
      <c r="L636" s="18">
        <f t="shared" ref="L636:O636" si="693">ROUND($I636*L$2,0)</f>
        <v>30165</v>
      </c>
      <c r="M636" s="7">
        <v>1.0055</v>
      </c>
      <c r="N636" s="18">
        <f t="shared" si="693"/>
        <v>7541</v>
      </c>
      <c r="O636" s="18">
        <f t="shared" si="693"/>
        <v>754125</v>
      </c>
      <c r="P636" s="18">
        <f t="shared" si="634"/>
        <v>452.475</v>
      </c>
      <c r="Q636" s="18">
        <f t="shared" si="635"/>
        <v>2505</v>
      </c>
      <c r="R636" s="42" t="s">
        <v>1265</v>
      </c>
      <c r="S636" s="4" t="e">
        <f t="shared" si="636"/>
        <v>#N/A</v>
      </c>
      <c r="W636" s="4"/>
      <c r="X636" s="4"/>
      <c r="AD636" s="4" t="s">
        <v>1266</v>
      </c>
      <c r="AE636" s="4">
        <v>300100028</v>
      </c>
    </row>
    <row r="637" s="2" customFormat="1" spans="1:31">
      <c r="A637" s="4">
        <v>635</v>
      </c>
      <c r="B637" s="5" t="s">
        <v>1267</v>
      </c>
      <c r="C637" s="4" t="s">
        <v>1195</v>
      </c>
      <c r="D637" s="22" t="s">
        <v>41</v>
      </c>
      <c r="E637" s="4">
        <v>41</v>
      </c>
      <c r="F637" s="5">
        <v>1</v>
      </c>
      <c r="G637" s="5">
        <v>1</v>
      </c>
      <c r="H637" s="6">
        <f t="shared" si="630"/>
        <v>1</v>
      </c>
      <c r="I637" s="4">
        <f t="shared" si="631"/>
        <v>49730</v>
      </c>
      <c r="J637" s="22">
        <f>ROUND(VLOOKUP(D637,[1]物品容器!$T$3:$U$8,2,FALSE)*M637,0)*0.5</f>
        <v>49730</v>
      </c>
      <c r="K637" s="18">
        <f t="shared" si="632"/>
        <v>49730</v>
      </c>
      <c r="L637" s="18">
        <f t="shared" ref="L637:O637" si="694">ROUND($I637*L$2,0)</f>
        <v>29838</v>
      </c>
      <c r="M637" s="7">
        <v>0.9946</v>
      </c>
      <c r="N637" s="18">
        <f t="shared" si="694"/>
        <v>7460</v>
      </c>
      <c r="O637" s="18">
        <f t="shared" si="694"/>
        <v>745950</v>
      </c>
      <c r="P637" s="18">
        <f t="shared" si="634"/>
        <v>447.57</v>
      </c>
      <c r="Q637" s="18">
        <f t="shared" si="635"/>
        <v>2478</v>
      </c>
      <c r="R637" s="42" t="s">
        <v>1267</v>
      </c>
      <c r="S637" s="4" t="e">
        <f t="shared" si="636"/>
        <v>#N/A</v>
      </c>
      <c r="W637" s="4"/>
      <c r="X637" s="4"/>
      <c r="AD637" s="4" t="s">
        <v>1268</v>
      </c>
      <c r="AE637" s="4">
        <v>300100029</v>
      </c>
    </row>
    <row r="638" s="2" customFormat="1" spans="1:31">
      <c r="A638" s="4">
        <v>636</v>
      </c>
      <c r="B638" s="5" t="s">
        <v>1269</v>
      </c>
      <c r="C638" s="4" t="s">
        <v>1195</v>
      </c>
      <c r="D638" s="22" t="s">
        <v>41</v>
      </c>
      <c r="E638" s="4">
        <v>42</v>
      </c>
      <c r="F638" s="5">
        <v>1</v>
      </c>
      <c r="G638" s="5">
        <v>1</v>
      </c>
      <c r="H638" s="6">
        <f t="shared" si="630"/>
        <v>1</v>
      </c>
      <c r="I638" s="4">
        <f t="shared" si="631"/>
        <v>49860</v>
      </c>
      <c r="J638" s="22">
        <f>ROUND(VLOOKUP(D638,[1]物品容器!$T$3:$U$8,2,FALSE)*M638,0)*0.5</f>
        <v>49860</v>
      </c>
      <c r="K638" s="18">
        <f t="shared" si="632"/>
        <v>49860</v>
      </c>
      <c r="L638" s="18">
        <f t="shared" ref="L638:O638" si="695">ROUND($I638*L$2,0)</f>
        <v>29916</v>
      </c>
      <c r="M638" s="7">
        <v>0.9972</v>
      </c>
      <c r="N638" s="18">
        <f t="shared" si="695"/>
        <v>7479</v>
      </c>
      <c r="O638" s="18">
        <f t="shared" si="695"/>
        <v>747900</v>
      </c>
      <c r="P638" s="18">
        <f t="shared" si="634"/>
        <v>448.74</v>
      </c>
      <c r="Q638" s="18">
        <f t="shared" si="635"/>
        <v>2484</v>
      </c>
      <c r="R638" s="42" t="s">
        <v>1269</v>
      </c>
      <c r="S638" s="4" t="e">
        <f t="shared" si="636"/>
        <v>#N/A</v>
      </c>
      <c r="W638" s="4"/>
      <c r="X638" s="4"/>
      <c r="AD638" s="4" t="s">
        <v>1270</v>
      </c>
      <c r="AE638" s="4">
        <v>300100030</v>
      </c>
    </row>
    <row r="639" s="2" customFormat="1" spans="1:31">
      <c r="A639" s="4">
        <v>637</v>
      </c>
      <c r="B639" s="5" t="s">
        <v>1271</v>
      </c>
      <c r="C639" s="4" t="s">
        <v>1195</v>
      </c>
      <c r="D639" s="22" t="s">
        <v>41</v>
      </c>
      <c r="E639" s="4">
        <v>43</v>
      </c>
      <c r="F639" s="5">
        <v>1</v>
      </c>
      <c r="G639" s="5">
        <v>1</v>
      </c>
      <c r="H639" s="6">
        <f t="shared" si="630"/>
        <v>1</v>
      </c>
      <c r="I639" s="4">
        <f t="shared" si="631"/>
        <v>50105</v>
      </c>
      <c r="J639" s="22">
        <f>ROUND(VLOOKUP(D639,[1]物品容器!$T$3:$U$8,2,FALSE)*M639,0)*0.5</f>
        <v>50105</v>
      </c>
      <c r="K639" s="18">
        <f t="shared" si="632"/>
        <v>50105</v>
      </c>
      <c r="L639" s="18">
        <f t="shared" ref="L639:O639" si="696">ROUND($I639*L$2,0)</f>
        <v>30063</v>
      </c>
      <c r="M639" s="7">
        <v>1.0021</v>
      </c>
      <c r="N639" s="18">
        <f t="shared" si="696"/>
        <v>7516</v>
      </c>
      <c r="O639" s="18">
        <f t="shared" si="696"/>
        <v>751575</v>
      </c>
      <c r="P639" s="18">
        <f t="shared" si="634"/>
        <v>450.945</v>
      </c>
      <c r="Q639" s="18">
        <f t="shared" si="635"/>
        <v>2497</v>
      </c>
      <c r="R639" s="42" t="s">
        <v>1271</v>
      </c>
      <c r="S639" s="4" t="e">
        <f t="shared" si="636"/>
        <v>#N/A</v>
      </c>
      <c r="W639" s="4"/>
      <c r="X639" s="4"/>
      <c r="AD639" s="4" t="s">
        <v>1272</v>
      </c>
      <c r="AE639" s="4">
        <v>300100031</v>
      </c>
    </row>
    <row r="640" s="2" customFormat="1" spans="1:31">
      <c r="A640" s="4">
        <v>638</v>
      </c>
      <c r="B640" s="5" t="s">
        <v>1273</v>
      </c>
      <c r="C640" s="4" t="s">
        <v>1195</v>
      </c>
      <c r="D640" s="22" t="s">
        <v>41</v>
      </c>
      <c r="E640" s="4">
        <v>44</v>
      </c>
      <c r="F640" s="5">
        <v>1</v>
      </c>
      <c r="G640" s="5">
        <v>1</v>
      </c>
      <c r="H640" s="6">
        <f t="shared" si="630"/>
        <v>1</v>
      </c>
      <c r="I640" s="4">
        <f t="shared" si="631"/>
        <v>50225</v>
      </c>
      <c r="J640" s="22">
        <f>ROUND(VLOOKUP(D640,[1]物品容器!$T$3:$U$8,2,FALSE)*M640,0)*0.5</f>
        <v>50225</v>
      </c>
      <c r="K640" s="18">
        <f t="shared" si="632"/>
        <v>50225</v>
      </c>
      <c r="L640" s="18">
        <f t="shared" ref="L640:O640" si="697">ROUND($I640*L$2,0)</f>
        <v>30135</v>
      </c>
      <c r="M640" s="7">
        <v>1.0045</v>
      </c>
      <c r="N640" s="18">
        <f t="shared" si="697"/>
        <v>7534</v>
      </c>
      <c r="O640" s="18">
        <f t="shared" si="697"/>
        <v>753375</v>
      </c>
      <c r="P640" s="18">
        <f t="shared" si="634"/>
        <v>452.025</v>
      </c>
      <c r="Q640" s="18">
        <f t="shared" si="635"/>
        <v>2503</v>
      </c>
      <c r="R640" s="42" t="s">
        <v>1273</v>
      </c>
      <c r="S640" s="4" t="e">
        <f t="shared" si="636"/>
        <v>#N/A</v>
      </c>
      <c r="W640" s="4"/>
      <c r="X640" s="4"/>
      <c r="AD640" s="4" t="s">
        <v>1274</v>
      </c>
      <c r="AE640" s="4">
        <v>300100032</v>
      </c>
    </row>
    <row r="641" s="2" customFormat="1" spans="1:31">
      <c r="A641" s="4">
        <v>639</v>
      </c>
      <c r="B641" s="5" t="s">
        <v>1275</v>
      </c>
      <c r="C641" s="4" t="s">
        <v>1195</v>
      </c>
      <c r="D641" s="22" t="s">
        <v>41</v>
      </c>
      <c r="E641" s="4">
        <v>45</v>
      </c>
      <c r="F641" s="5">
        <v>1</v>
      </c>
      <c r="G641" s="5">
        <v>1</v>
      </c>
      <c r="H641" s="6">
        <f t="shared" si="630"/>
        <v>1</v>
      </c>
      <c r="I641" s="4">
        <f t="shared" si="631"/>
        <v>50130</v>
      </c>
      <c r="J641" s="22">
        <f>ROUND(VLOOKUP(D641,[1]物品容器!$T$3:$U$8,2,FALSE)*M641,0)*0.5</f>
        <v>50130</v>
      </c>
      <c r="K641" s="18">
        <f t="shared" si="632"/>
        <v>50130</v>
      </c>
      <c r="L641" s="18">
        <f t="shared" ref="L641:O641" si="698">ROUND($I641*L$2,0)</f>
        <v>30078</v>
      </c>
      <c r="M641" s="7">
        <v>1.0026</v>
      </c>
      <c r="N641" s="18">
        <f t="shared" si="698"/>
        <v>7520</v>
      </c>
      <c r="O641" s="18">
        <f t="shared" si="698"/>
        <v>751950</v>
      </c>
      <c r="P641" s="18">
        <f t="shared" si="634"/>
        <v>451.17</v>
      </c>
      <c r="Q641" s="18">
        <f t="shared" si="635"/>
        <v>2498</v>
      </c>
      <c r="R641" s="42" t="s">
        <v>1275</v>
      </c>
      <c r="S641" s="4" t="e">
        <f t="shared" si="636"/>
        <v>#N/A</v>
      </c>
      <c r="W641" s="4"/>
      <c r="X641" s="4"/>
      <c r="AD641" s="4" t="s">
        <v>1276</v>
      </c>
      <c r="AE641" s="4">
        <v>300100033</v>
      </c>
    </row>
    <row r="642" s="2" customFormat="1" spans="1:31">
      <c r="A642" s="4">
        <v>640</v>
      </c>
      <c r="B642" s="5" t="s">
        <v>1277</v>
      </c>
      <c r="C642" s="4" t="s">
        <v>1195</v>
      </c>
      <c r="D642" s="22" t="s">
        <v>41</v>
      </c>
      <c r="E642" s="4">
        <v>46</v>
      </c>
      <c r="F642" s="5">
        <v>1</v>
      </c>
      <c r="G642" s="5">
        <v>1</v>
      </c>
      <c r="H642" s="6">
        <f t="shared" si="630"/>
        <v>1</v>
      </c>
      <c r="I642" s="4">
        <f t="shared" si="631"/>
        <v>49795</v>
      </c>
      <c r="J642" s="22">
        <f>ROUND(VLOOKUP(D642,[1]物品容器!$T$3:$U$8,2,FALSE)*M642,0)*0.5</f>
        <v>49795</v>
      </c>
      <c r="K642" s="18">
        <f t="shared" si="632"/>
        <v>49795</v>
      </c>
      <c r="L642" s="18">
        <f t="shared" ref="L642:O642" si="699">ROUND($I642*L$2,0)</f>
        <v>29877</v>
      </c>
      <c r="M642" s="7">
        <v>0.9959</v>
      </c>
      <c r="N642" s="18">
        <f t="shared" si="699"/>
        <v>7469</v>
      </c>
      <c r="O642" s="18">
        <f t="shared" si="699"/>
        <v>746925</v>
      </c>
      <c r="P642" s="18">
        <f t="shared" si="634"/>
        <v>448.155</v>
      </c>
      <c r="Q642" s="18">
        <f t="shared" si="635"/>
        <v>2481</v>
      </c>
      <c r="R642" s="42" t="s">
        <v>1277</v>
      </c>
      <c r="S642" s="4" t="e">
        <f t="shared" si="636"/>
        <v>#N/A</v>
      </c>
      <c r="W642" s="4"/>
      <c r="X642" s="4"/>
      <c r="AD642" s="4" t="s">
        <v>1278</v>
      </c>
      <c r="AE642" s="4">
        <v>300100034</v>
      </c>
    </row>
    <row r="643" s="2" customFormat="1" spans="1:31">
      <c r="A643" s="4">
        <v>641</v>
      </c>
      <c r="B643" s="5" t="s">
        <v>1279</v>
      </c>
      <c r="C643" s="4" t="s">
        <v>1195</v>
      </c>
      <c r="D643" s="22" t="s">
        <v>41</v>
      </c>
      <c r="E643" s="4">
        <v>47</v>
      </c>
      <c r="F643" s="5">
        <v>1</v>
      </c>
      <c r="G643" s="5">
        <v>1</v>
      </c>
      <c r="H643" s="6">
        <f t="shared" ref="H643:H706" si="700">VLOOKUP(F643*G643,$T$3:$U$11,2,FALSE)</f>
        <v>1</v>
      </c>
      <c r="I643" s="4">
        <f t="shared" ref="I643:I706" si="701">ROUND(F643*G643*J643*H643,0)</f>
        <v>50365</v>
      </c>
      <c r="J643" s="22">
        <f>ROUND(VLOOKUP(D643,[1]物品容器!$T$3:$U$8,2,FALSE)*M643,0)*0.5</f>
        <v>50365</v>
      </c>
      <c r="K643" s="18">
        <f t="shared" ref="K643:K706" si="702">ROUND(J643*H643,0)</f>
        <v>50365</v>
      </c>
      <c r="L643" s="18">
        <f t="shared" ref="L643:O643" si="703">ROUND($I643*L$2,0)</f>
        <v>30219</v>
      </c>
      <c r="M643" s="7">
        <v>1.0073</v>
      </c>
      <c r="N643" s="18">
        <f t="shared" si="703"/>
        <v>7555</v>
      </c>
      <c r="O643" s="18">
        <f t="shared" si="703"/>
        <v>755475</v>
      </c>
      <c r="P643" s="18">
        <f t="shared" ref="P643:P706" si="704">L643*1.5%</f>
        <v>453.285</v>
      </c>
      <c r="Q643" s="18">
        <f t="shared" ref="Q643:Q706" si="705">ROUND((O643-N643)*$Q$2,0)</f>
        <v>2510</v>
      </c>
      <c r="R643" s="42" t="s">
        <v>1279</v>
      </c>
      <c r="S643" s="4" t="e">
        <f t="shared" ref="S643:S706" si="706">VLOOKUP(B643,$AD:$AE,2,FALSE)</f>
        <v>#N/A</v>
      </c>
      <c r="W643" s="4"/>
      <c r="X643" s="4"/>
      <c r="AD643" s="4" t="s">
        <v>1280</v>
      </c>
      <c r="AE643" s="4">
        <v>300100035</v>
      </c>
    </row>
    <row r="644" s="2" customFormat="1" spans="1:31">
      <c r="A644" s="4">
        <v>642</v>
      </c>
      <c r="B644" s="5" t="s">
        <v>1281</v>
      </c>
      <c r="C644" s="4" t="s">
        <v>1195</v>
      </c>
      <c r="D644" s="22" t="s">
        <v>41</v>
      </c>
      <c r="E644" s="4">
        <v>48</v>
      </c>
      <c r="F644" s="5">
        <v>1</v>
      </c>
      <c r="G644" s="5">
        <v>1</v>
      </c>
      <c r="H644" s="6">
        <f t="shared" si="700"/>
        <v>1</v>
      </c>
      <c r="I644" s="4">
        <f t="shared" si="701"/>
        <v>49560</v>
      </c>
      <c r="J644" s="22">
        <f>ROUND(VLOOKUP(D644,[1]物品容器!$T$3:$U$8,2,FALSE)*M644,0)*0.5</f>
        <v>49560</v>
      </c>
      <c r="K644" s="18">
        <f t="shared" si="702"/>
        <v>49560</v>
      </c>
      <c r="L644" s="18">
        <f t="shared" ref="L644:O644" si="707">ROUND($I644*L$2,0)</f>
        <v>29736</v>
      </c>
      <c r="M644" s="7">
        <v>0.9912</v>
      </c>
      <c r="N644" s="18">
        <f t="shared" si="707"/>
        <v>7434</v>
      </c>
      <c r="O644" s="18">
        <f t="shared" si="707"/>
        <v>743400</v>
      </c>
      <c r="P644" s="18">
        <f t="shared" si="704"/>
        <v>446.04</v>
      </c>
      <c r="Q644" s="18">
        <f t="shared" si="705"/>
        <v>2470</v>
      </c>
      <c r="R644" s="42" t="s">
        <v>1281</v>
      </c>
      <c r="S644" s="4" t="e">
        <f t="shared" si="706"/>
        <v>#N/A</v>
      </c>
      <c r="W644" s="4"/>
      <c r="X644" s="4"/>
      <c r="AD644" s="4" t="s">
        <v>1282</v>
      </c>
      <c r="AE644" s="4">
        <v>300100036</v>
      </c>
    </row>
    <row r="645" s="2" customFormat="1" spans="1:31">
      <c r="A645" s="4">
        <v>643</v>
      </c>
      <c r="B645" s="5" t="s">
        <v>1283</v>
      </c>
      <c r="C645" s="4" t="s">
        <v>1195</v>
      </c>
      <c r="D645" s="22" t="s">
        <v>41</v>
      </c>
      <c r="E645" s="4">
        <v>49</v>
      </c>
      <c r="F645" s="5">
        <v>1</v>
      </c>
      <c r="G645" s="5">
        <v>1</v>
      </c>
      <c r="H645" s="6">
        <f t="shared" si="700"/>
        <v>1</v>
      </c>
      <c r="I645" s="4">
        <f t="shared" si="701"/>
        <v>50070</v>
      </c>
      <c r="J645" s="22">
        <f>ROUND(VLOOKUP(D645,[1]物品容器!$T$3:$U$8,2,FALSE)*M645,0)*0.5</f>
        <v>50070</v>
      </c>
      <c r="K645" s="18">
        <f t="shared" si="702"/>
        <v>50070</v>
      </c>
      <c r="L645" s="18">
        <f t="shared" ref="L645:O645" si="708">ROUND($I645*L$2,0)</f>
        <v>30042</v>
      </c>
      <c r="M645" s="7">
        <v>1.0014</v>
      </c>
      <c r="N645" s="18">
        <f t="shared" si="708"/>
        <v>7511</v>
      </c>
      <c r="O645" s="18">
        <f t="shared" si="708"/>
        <v>751050</v>
      </c>
      <c r="P645" s="18">
        <f t="shared" si="704"/>
        <v>450.63</v>
      </c>
      <c r="Q645" s="18">
        <f t="shared" si="705"/>
        <v>2495</v>
      </c>
      <c r="R645" s="42" t="s">
        <v>1283</v>
      </c>
      <c r="S645" s="4" t="e">
        <f t="shared" si="706"/>
        <v>#N/A</v>
      </c>
      <c r="W645" s="4"/>
      <c r="X645" s="4"/>
      <c r="AD645" s="4" t="s">
        <v>1284</v>
      </c>
      <c r="AE645" s="4">
        <v>300100037</v>
      </c>
    </row>
    <row r="646" s="2" customFormat="1" spans="1:31">
      <c r="A646" s="4">
        <v>644</v>
      </c>
      <c r="B646" s="5" t="s">
        <v>1285</v>
      </c>
      <c r="C646" s="4" t="s">
        <v>1195</v>
      </c>
      <c r="D646" s="22" t="s">
        <v>41</v>
      </c>
      <c r="E646" s="4">
        <v>50</v>
      </c>
      <c r="F646" s="5">
        <v>1</v>
      </c>
      <c r="G646" s="5">
        <v>1</v>
      </c>
      <c r="H646" s="6">
        <f t="shared" si="700"/>
        <v>1</v>
      </c>
      <c r="I646" s="4">
        <f t="shared" si="701"/>
        <v>50055</v>
      </c>
      <c r="J646" s="22">
        <f>ROUND(VLOOKUP(D646,[1]物品容器!$T$3:$U$8,2,FALSE)*M646,0)*0.5</f>
        <v>50055</v>
      </c>
      <c r="K646" s="18">
        <f t="shared" si="702"/>
        <v>50055</v>
      </c>
      <c r="L646" s="18">
        <f t="shared" ref="L646:O646" si="709">ROUND($I646*L$2,0)</f>
        <v>30033</v>
      </c>
      <c r="M646" s="7">
        <v>1.0011</v>
      </c>
      <c r="N646" s="18">
        <f t="shared" si="709"/>
        <v>7508</v>
      </c>
      <c r="O646" s="18">
        <f t="shared" si="709"/>
        <v>750825</v>
      </c>
      <c r="P646" s="18">
        <f t="shared" si="704"/>
        <v>450.495</v>
      </c>
      <c r="Q646" s="18">
        <f t="shared" si="705"/>
        <v>2494</v>
      </c>
      <c r="R646" s="42" t="s">
        <v>1285</v>
      </c>
      <c r="S646" s="4" t="e">
        <f t="shared" si="706"/>
        <v>#N/A</v>
      </c>
      <c r="W646" s="4"/>
      <c r="X646" s="4"/>
      <c r="AD646" s="4" t="s">
        <v>1286</v>
      </c>
      <c r="AE646" s="4">
        <v>300100038</v>
      </c>
    </row>
    <row r="647" s="2" customFormat="1" spans="1:31">
      <c r="A647" s="4">
        <v>645</v>
      </c>
      <c r="B647" s="5" t="s">
        <v>1287</v>
      </c>
      <c r="C647" s="4" t="s">
        <v>1195</v>
      </c>
      <c r="D647" s="22" t="s">
        <v>41</v>
      </c>
      <c r="E647" s="4">
        <v>51</v>
      </c>
      <c r="F647" s="5">
        <v>1</v>
      </c>
      <c r="G647" s="5">
        <v>1</v>
      </c>
      <c r="H647" s="6">
        <f t="shared" si="700"/>
        <v>1</v>
      </c>
      <c r="I647" s="4">
        <f t="shared" si="701"/>
        <v>50045</v>
      </c>
      <c r="J647" s="22">
        <f>ROUND(VLOOKUP(D647,[1]物品容器!$T$3:$U$8,2,FALSE)*M647,0)*0.5</f>
        <v>50045</v>
      </c>
      <c r="K647" s="18">
        <f t="shared" si="702"/>
        <v>50045</v>
      </c>
      <c r="L647" s="18">
        <f t="shared" ref="L647:O647" si="710">ROUND($I647*L$2,0)</f>
        <v>30027</v>
      </c>
      <c r="M647" s="7">
        <v>1.0009</v>
      </c>
      <c r="N647" s="18">
        <f t="shared" si="710"/>
        <v>7507</v>
      </c>
      <c r="O647" s="18">
        <f t="shared" si="710"/>
        <v>750675</v>
      </c>
      <c r="P647" s="18">
        <f t="shared" si="704"/>
        <v>450.405</v>
      </c>
      <c r="Q647" s="18">
        <f t="shared" si="705"/>
        <v>2494</v>
      </c>
      <c r="R647" s="42" t="s">
        <v>1287</v>
      </c>
      <c r="S647" s="4" t="e">
        <f t="shared" si="706"/>
        <v>#N/A</v>
      </c>
      <c r="W647" s="4"/>
      <c r="X647" s="4"/>
      <c r="AD647" s="4" t="s">
        <v>1288</v>
      </c>
      <c r="AE647" s="4">
        <v>300100039</v>
      </c>
    </row>
    <row r="648" s="2" customFormat="1" spans="1:31">
      <c r="A648" s="4">
        <v>646</v>
      </c>
      <c r="B648" s="5" t="s">
        <v>1289</v>
      </c>
      <c r="C648" s="4" t="s">
        <v>1195</v>
      </c>
      <c r="D648" s="22" t="s">
        <v>41</v>
      </c>
      <c r="E648" s="4">
        <v>52</v>
      </c>
      <c r="F648" s="5">
        <v>1</v>
      </c>
      <c r="G648" s="5">
        <v>1</v>
      </c>
      <c r="H648" s="6">
        <f t="shared" si="700"/>
        <v>1</v>
      </c>
      <c r="I648" s="4">
        <f t="shared" si="701"/>
        <v>49555</v>
      </c>
      <c r="J648" s="22">
        <f>ROUND(VLOOKUP(D648,[1]物品容器!$T$3:$U$8,2,FALSE)*M648,0)*0.5</f>
        <v>49555</v>
      </c>
      <c r="K648" s="18">
        <f t="shared" si="702"/>
        <v>49555</v>
      </c>
      <c r="L648" s="18">
        <f t="shared" ref="L648:O648" si="711">ROUND($I648*L$2,0)</f>
        <v>29733</v>
      </c>
      <c r="M648" s="7">
        <v>0.9911</v>
      </c>
      <c r="N648" s="18">
        <f t="shared" si="711"/>
        <v>7433</v>
      </c>
      <c r="O648" s="18">
        <f t="shared" si="711"/>
        <v>743325</v>
      </c>
      <c r="P648" s="18">
        <f t="shared" si="704"/>
        <v>445.995</v>
      </c>
      <c r="Q648" s="18">
        <f t="shared" si="705"/>
        <v>2469</v>
      </c>
      <c r="R648" s="42" t="s">
        <v>1289</v>
      </c>
      <c r="S648" s="4" t="e">
        <f t="shared" si="706"/>
        <v>#N/A</v>
      </c>
      <c r="W648" s="4"/>
      <c r="X648" s="4"/>
      <c r="AD648" s="4" t="s">
        <v>1290</v>
      </c>
      <c r="AE648" s="4">
        <v>300100040</v>
      </c>
    </row>
    <row r="649" s="2" customFormat="1" spans="1:31">
      <c r="A649" s="4">
        <v>647</v>
      </c>
      <c r="B649" s="5" t="s">
        <v>1291</v>
      </c>
      <c r="C649" s="4" t="s">
        <v>1195</v>
      </c>
      <c r="D649" s="22" t="s">
        <v>41</v>
      </c>
      <c r="E649" s="4">
        <v>53</v>
      </c>
      <c r="F649" s="5">
        <v>1</v>
      </c>
      <c r="G649" s="5">
        <v>1</v>
      </c>
      <c r="H649" s="6">
        <f t="shared" si="700"/>
        <v>1</v>
      </c>
      <c r="I649" s="4">
        <f t="shared" si="701"/>
        <v>49820</v>
      </c>
      <c r="J649" s="22">
        <f>ROUND(VLOOKUP(D649,[1]物品容器!$T$3:$U$8,2,FALSE)*M649,0)*0.5</f>
        <v>49820</v>
      </c>
      <c r="K649" s="18">
        <f t="shared" si="702"/>
        <v>49820</v>
      </c>
      <c r="L649" s="18">
        <f t="shared" ref="L649:O649" si="712">ROUND($I649*L$2,0)</f>
        <v>29892</v>
      </c>
      <c r="M649" s="7">
        <v>0.9964</v>
      </c>
      <c r="N649" s="18">
        <f t="shared" si="712"/>
        <v>7473</v>
      </c>
      <c r="O649" s="18">
        <f t="shared" si="712"/>
        <v>747300</v>
      </c>
      <c r="P649" s="18">
        <f t="shared" si="704"/>
        <v>448.38</v>
      </c>
      <c r="Q649" s="18">
        <f t="shared" si="705"/>
        <v>2482</v>
      </c>
      <c r="R649" s="42" t="s">
        <v>1291</v>
      </c>
      <c r="S649" s="4" t="e">
        <f t="shared" si="706"/>
        <v>#N/A</v>
      </c>
      <c r="W649" s="4"/>
      <c r="X649" s="4"/>
      <c r="AD649" s="4" t="s">
        <v>1292</v>
      </c>
      <c r="AE649" s="4">
        <v>300100041</v>
      </c>
    </row>
    <row r="650" s="2" customFormat="1" spans="1:31">
      <c r="A650" s="4">
        <v>648</v>
      </c>
      <c r="B650" s="5" t="s">
        <v>1293</v>
      </c>
      <c r="C650" s="4" t="s">
        <v>1195</v>
      </c>
      <c r="D650" s="22" t="s">
        <v>41</v>
      </c>
      <c r="E650" s="4">
        <v>54</v>
      </c>
      <c r="F650" s="5">
        <v>1</v>
      </c>
      <c r="G650" s="5">
        <v>1</v>
      </c>
      <c r="H650" s="6">
        <f t="shared" si="700"/>
        <v>1</v>
      </c>
      <c r="I650" s="4">
        <f t="shared" si="701"/>
        <v>50275</v>
      </c>
      <c r="J650" s="22">
        <f>ROUND(VLOOKUP(D650,[1]物品容器!$T$3:$U$8,2,FALSE)*M650,0)*0.5</f>
        <v>50275</v>
      </c>
      <c r="K650" s="18">
        <f t="shared" si="702"/>
        <v>50275</v>
      </c>
      <c r="L650" s="18">
        <f t="shared" ref="L650:O650" si="713">ROUND($I650*L$2,0)</f>
        <v>30165</v>
      </c>
      <c r="M650" s="7">
        <v>1.0055</v>
      </c>
      <c r="N650" s="18">
        <f t="shared" si="713"/>
        <v>7541</v>
      </c>
      <c r="O650" s="18">
        <f t="shared" si="713"/>
        <v>754125</v>
      </c>
      <c r="P650" s="18">
        <f t="shared" si="704"/>
        <v>452.475</v>
      </c>
      <c r="Q650" s="18">
        <f t="shared" si="705"/>
        <v>2505</v>
      </c>
      <c r="R650" s="42" t="s">
        <v>1293</v>
      </c>
      <c r="S650" s="4" t="e">
        <f t="shared" si="706"/>
        <v>#N/A</v>
      </c>
      <c r="W650" s="4"/>
      <c r="X650" s="4"/>
      <c r="AD650" s="4" t="s">
        <v>1294</v>
      </c>
      <c r="AE650" s="4">
        <v>300100042</v>
      </c>
    </row>
    <row r="651" s="2" customFormat="1" spans="1:31">
      <c r="A651" s="4">
        <v>649</v>
      </c>
      <c r="B651" s="5" t="s">
        <v>1295</v>
      </c>
      <c r="C651" s="4" t="s">
        <v>1195</v>
      </c>
      <c r="D651" s="22" t="s">
        <v>41</v>
      </c>
      <c r="E651" s="4">
        <v>55</v>
      </c>
      <c r="F651" s="5">
        <v>1</v>
      </c>
      <c r="G651" s="5">
        <v>1</v>
      </c>
      <c r="H651" s="6">
        <f t="shared" si="700"/>
        <v>1</v>
      </c>
      <c r="I651" s="4">
        <f t="shared" si="701"/>
        <v>50325</v>
      </c>
      <c r="J651" s="22">
        <f>ROUND(VLOOKUP(D651,[1]物品容器!$T$3:$U$8,2,FALSE)*M651,0)*0.5</f>
        <v>50325</v>
      </c>
      <c r="K651" s="18">
        <f t="shared" si="702"/>
        <v>50325</v>
      </c>
      <c r="L651" s="18">
        <f t="shared" ref="L651:O651" si="714">ROUND($I651*L$2,0)</f>
        <v>30195</v>
      </c>
      <c r="M651" s="7">
        <v>1.0065</v>
      </c>
      <c r="N651" s="18">
        <f t="shared" si="714"/>
        <v>7549</v>
      </c>
      <c r="O651" s="18">
        <f t="shared" si="714"/>
        <v>754875</v>
      </c>
      <c r="P651" s="18">
        <f t="shared" si="704"/>
        <v>452.925</v>
      </c>
      <c r="Q651" s="18">
        <f t="shared" si="705"/>
        <v>2508</v>
      </c>
      <c r="R651" s="42" t="s">
        <v>1295</v>
      </c>
      <c r="S651" s="4" t="e">
        <f t="shared" si="706"/>
        <v>#N/A</v>
      </c>
      <c r="W651" s="4"/>
      <c r="X651" s="4"/>
      <c r="AD651" s="4" t="s">
        <v>1296</v>
      </c>
      <c r="AE651" s="4">
        <v>300100043</v>
      </c>
    </row>
    <row r="652" s="2" customFormat="1" spans="1:31">
      <c r="A652" s="4">
        <v>650</v>
      </c>
      <c r="B652" s="5" t="s">
        <v>1297</v>
      </c>
      <c r="C652" s="4" t="s">
        <v>1195</v>
      </c>
      <c r="D652" s="22" t="s">
        <v>41</v>
      </c>
      <c r="E652" s="4">
        <v>56</v>
      </c>
      <c r="F652" s="5">
        <v>1</v>
      </c>
      <c r="G652" s="5">
        <v>1</v>
      </c>
      <c r="H652" s="6">
        <f t="shared" si="700"/>
        <v>1</v>
      </c>
      <c r="I652" s="4">
        <f t="shared" si="701"/>
        <v>50255</v>
      </c>
      <c r="J652" s="22">
        <f>ROUND(VLOOKUP(D652,[1]物品容器!$T$3:$U$8,2,FALSE)*M652,0)*0.5</f>
        <v>50255</v>
      </c>
      <c r="K652" s="18">
        <f t="shared" si="702"/>
        <v>50255</v>
      </c>
      <c r="L652" s="18">
        <f t="shared" ref="L652:O652" si="715">ROUND($I652*L$2,0)</f>
        <v>30153</v>
      </c>
      <c r="M652" s="7">
        <v>1.0051</v>
      </c>
      <c r="N652" s="18">
        <f t="shared" si="715"/>
        <v>7538</v>
      </c>
      <c r="O652" s="18">
        <f t="shared" si="715"/>
        <v>753825</v>
      </c>
      <c r="P652" s="18">
        <f t="shared" si="704"/>
        <v>452.295</v>
      </c>
      <c r="Q652" s="18">
        <f t="shared" si="705"/>
        <v>2504</v>
      </c>
      <c r="R652" s="42" t="s">
        <v>1297</v>
      </c>
      <c r="S652" s="4" t="e">
        <f t="shared" si="706"/>
        <v>#N/A</v>
      </c>
      <c r="W652" s="4"/>
      <c r="X652" s="4"/>
      <c r="AD652" s="4" t="s">
        <v>1298</v>
      </c>
      <c r="AE652" s="4">
        <v>300100044</v>
      </c>
    </row>
    <row r="653" s="2" customFormat="1" spans="1:31">
      <c r="A653" s="4">
        <v>651</v>
      </c>
      <c r="B653" s="5" t="s">
        <v>1299</v>
      </c>
      <c r="C653" s="4" t="s">
        <v>1195</v>
      </c>
      <c r="D653" s="22" t="s">
        <v>41</v>
      </c>
      <c r="E653" s="4">
        <v>57</v>
      </c>
      <c r="F653" s="5">
        <v>1</v>
      </c>
      <c r="G653" s="5">
        <v>1</v>
      </c>
      <c r="H653" s="6">
        <f t="shared" si="700"/>
        <v>1</v>
      </c>
      <c r="I653" s="4">
        <f t="shared" si="701"/>
        <v>50285</v>
      </c>
      <c r="J653" s="22">
        <f>ROUND(VLOOKUP(D653,[1]物品容器!$T$3:$U$8,2,FALSE)*M653,0)*0.5</f>
        <v>50285</v>
      </c>
      <c r="K653" s="18">
        <f t="shared" si="702"/>
        <v>50285</v>
      </c>
      <c r="L653" s="18">
        <f t="shared" ref="L653:O653" si="716">ROUND($I653*L$2,0)</f>
        <v>30171</v>
      </c>
      <c r="M653" s="7">
        <v>1.0057</v>
      </c>
      <c r="N653" s="18">
        <f t="shared" si="716"/>
        <v>7543</v>
      </c>
      <c r="O653" s="18">
        <f t="shared" si="716"/>
        <v>754275</v>
      </c>
      <c r="P653" s="18">
        <f t="shared" si="704"/>
        <v>452.565</v>
      </c>
      <c r="Q653" s="18">
        <f t="shared" si="705"/>
        <v>2506</v>
      </c>
      <c r="R653" s="42" t="s">
        <v>1299</v>
      </c>
      <c r="S653" s="4" t="e">
        <f t="shared" si="706"/>
        <v>#N/A</v>
      </c>
      <c r="W653" s="4"/>
      <c r="X653" s="4"/>
      <c r="AD653" s="4" t="s">
        <v>1300</v>
      </c>
      <c r="AE653" s="4">
        <v>300100045</v>
      </c>
    </row>
    <row r="654" s="2" customFormat="1" spans="1:31">
      <c r="A654" s="4">
        <v>652</v>
      </c>
      <c r="B654" s="5" t="s">
        <v>1301</v>
      </c>
      <c r="C654" s="4" t="s">
        <v>1195</v>
      </c>
      <c r="D654" s="22" t="s">
        <v>41</v>
      </c>
      <c r="E654" s="4">
        <v>58</v>
      </c>
      <c r="F654" s="5">
        <v>1</v>
      </c>
      <c r="G654" s="5">
        <v>1</v>
      </c>
      <c r="H654" s="6">
        <f t="shared" si="700"/>
        <v>1</v>
      </c>
      <c r="I654" s="4">
        <f t="shared" si="701"/>
        <v>50010</v>
      </c>
      <c r="J654" s="22">
        <f>ROUND(VLOOKUP(D654,[1]物品容器!$T$3:$U$8,2,FALSE)*M654,0)*0.5</f>
        <v>50010</v>
      </c>
      <c r="K654" s="18">
        <f t="shared" si="702"/>
        <v>50010</v>
      </c>
      <c r="L654" s="18">
        <f t="shared" ref="L654:O654" si="717">ROUND($I654*L$2,0)</f>
        <v>30006</v>
      </c>
      <c r="M654" s="7">
        <v>1.0002</v>
      </c>
      <c r="N654" s="18">
        <f t="shared" si="717"/>
        <v>7502</v>
      </c>
      <c r="O654" s="18">
        <f t="shared" si="717"/>
        <v>750150</v>
      </c>
      <c r="P654" s="18">
        <f t="shared" si="704"/>
        <v>450.09</v>
      </c>
      <c r="Q654" s="18">
        <f t="shared" si="705"/>
        <v>2492</v>
      </c>
      <c r="R654" s="42" t="s">
        <v>1301</v>
      </c>
      <c r="S654" s="4" t="e">
        <f t="shared" si="706"/>
        <v>#N/A</v>
      </c>
      <c r="W654" s="4"/>
      <c r="X654" s="4"/>
      <c r="AD654" s="4"/>
      <c r="AE654" s="4"/>
    </row>
    <row r="655" s="2" customFormat="1" spans="1:31">
      <c r="A655" s="4">
        <v>653</v>
      </c>
      <c r="B655" s="5" t="s">
        <v>1302</v>
      </c>
      <c r="C655" s="4" t="s">
        <v>1195</v>
      </c>
      <c r="D655" s="22" t="s">
        <v>41</v>
      </c>
      <c r="E655" s="4">
        <v>59</v>
      </c>
      <c r="F655" s="5">
        <v>1</v>
      </c>
      <c r="G655" s="5">
        <v>1</v>
      </c>
      <c r="H655" s="6">
        <f t="shared" si="700"/>
        <v>1</v>
      </c>
      <c r="I655" s="4">
        <f t="shared" si="701"/>
        <v>49570</v>
      </c>
      <c r="J655" s="22">
        <f>ROUND(VLOOKUP(D655,[1]物品容器!$T$3:$U$8,2,FALSE)*M655,0)*0.5</f>
        <v>49570</v>
      </c>
      <c r="K655" s="18">
        <f t="shared" si="702"/>
        <v>49570</v>
      </c>
      <c r="L655" s="18">
        <f t="shared" ref="L655:O655" si="718">ROUND($I655*L$2,0)</f>
        <v>29742</v>
      </c>
      <c r="M655" s="7">
        <v>0.9914</v>
      </c>
      <c r="N655" s="18">
        <f t="shared" si="718"/>
        <v>7436</v>
      </c>
      <c r="O655" s="18">
        <f t="shared" si="718"/>
        <v>743550</v>
      </c>
      <c r="P655" s="18">
        <f t="shared" si="704"/>
        <v>446.13</v>
      </c>
      <c r="Q655" s="18">
        <f t="shared" si="705"/>
        <v>2470</v>
      </c>
      <c r="R655" s="42" t="s">
        <v>1302</v>
      </c>
      <c r="S655" s="4" t="e">
        <f t="shared" si="706"/>
        <v>#N/A</v>
      </c>
      <c r="W655" s="4"/>
      <c r="X655" s="4"/>
      <c r="AD655" s="4"/>
      <c r="AE655" s="4"/>
    </row>
    <row r="656" s="2" customFormat="1" spans="1:31">
      <c r="A656" s="4">
        <v>654</v>
      </c>
      <c r="B656" s="5" t="s">
        <v>1303</v>
      </c>
      <c r="C656" s="4" t="s">
        <v>1195</v>
      </c>
      <c r="D656" s="22" t="s">
        <v>41</v>
      </c>
      <c r="E656" s="4">
        <v>60</v>
      </c>
      <c r="F656" s="5">
        <v>1</v>
      </c>
      <c r="G656" s="5">
        <v>1</v>
      </c>
      <c r="H656" s="6">
        <f t="shared" si="700"/>
        <v>1</v>
      </c>
      <c r="I656" s="4">
        <f t="shared" si="701"/>
        <v>50400</v>
      </c>
      <c r="J656" s="22">
        <f>ROUND(VLOOKUP(D656,[1]物品容器!$T$3:$U$8,2,FALSE)*M656,0)*0.5</f>
        <v>50400</v>
      </c>
      <c r="K656" s="18">
        <f t="shared" si="702"/>
        <v>50400</v>
      </c>
      <c r="L656" s="18">
        <f t="shared" ref="L656:O656" si="719">ROUND($I656*L$2,0)</f>
        <v>30240</v>
      </c>
      <c r="M656" s="7">
        <v>1.008</v>
      </c>
      <c r="N656" s="18">
        <f t="shared" si="719"/>
        <v>7560</v>
      </c>
      <c r="O656" s="18">
        <f t="shared" si="719"/>
        <v>756000</v>
      </c>
      <c r="P656" s="18">
        <f t="shared" si="704"/>
        <v>453.6</v>
      </c>
      <c r="Q656" s="18">
        <f t="shared" si="705"/>
        <v>2511</v>
      </c>
      <c r="R656" s="42" t="s">
        <v>1303</v>
      </c>
      <c r="S656" s="4" t="e">
        <f t="shared" si="706"/>
        <v>#N/A</v>
      </c>
      <c r="W656" s="4"/>
      <c r="X656" s="4"/>
      <c r="AD656" s="4"/>
      <c r="AE656" s="4"/>
    </row>
    <row r="657" s="2" customFormat="1" spans="1:31">
      <c r="A657" s="4">
        <v>655</v>
      </c>
      <c r="B657" s="5" t="s">
        <v>1304</v>
      </c>
      <c r="C657" s="4" t="s">
        <v>1195</v>
      </c>
      <c r="D657" s="22" t="s">
        <v>41</v>
      </c>
      <c r="E657" s="4">
        <v>61</v>
      </c>
      <c r="F657" s="5">
        <v>1</v>
      </c>
      <c r="G657" s="5">
        <v>1</v>
      </c>
      <c r="H657" s="6">
        <f t="shared" si="700"/>
        <v>1</v>
      </c>
      <c r="I657" s="4">
        <f t="shared" si="701"/>
        <v>50120</v>
      </c>
      <c r="J657" s="22">
        <f>ROUND(VLOOKUP(D657,[1]物品容器!$T$3:$U$8,2,FALSE)*M657,0)*0.5</f>
        <v>50120</v>
      </c>
      <c r="K657" s="18">
        <f t="shared" si="702"/>
        <v>50120</v>
      </c>
      <c r="L657" s="18">
        <f t="shared" ref="L657:O657" si="720">ROUND($I657*L$2,0)</f>
        <v>30072</v>
      </c>
      <c r="M657" s="7">
        <v>1.0024</v>
      </c>
      <c r="N657" s="18">
        <f t="shared" si="720"/>
        <v>7518</v>
      </c>
      <c r="O657" s="18">
        <f t="shared" si="720"/>
        <v>751800</v>
      </c>
      <c r="P657" s="18">
        <f t="shared" si="704"/>
        <v>451.08</v>
      </c>
      <c r="Q657" s="18">
        <f t="shared" si="705"/>
        <v>2497</v>
      </c>
      <c r="R657" s="42" t="s">
        <v>1304</v>
      </c>
      <c r="S657" s="4" t="e">
        <f t="shared" si="706"/>
        <v>#N/A</v>
      </c>
      <c r="W657" s="4"/>
      <c r="X657" s="4"/>
      <c r="AD657" s="4"/>
      <c r="AE657" s="4"/>
    </row>
    <row r="658" s="2" customFormat="1" spans="1:31">
      <c r="A658" s="4">
        <v>656</v>
      </c>
      <c r="B658" s="5" t="s">
        <v>1305</v>
      </c>
      <c r="C658" s="4" t="s">
        <v>1195</v>
      </c>
      <c r="D658" s="22" t="s">
        <v>41</v>
      </c>
      <c r="E658" s="4">
        <v>62</v>
      </c>
      <c r="F658" s="5">
        <v>1</v>
      </c>
      <c r="G658" s="5">
        <v>1</v>
      </c>
      <c r="H658" s="6">
        <f t="shared" si="700"/>
        <v>1</v>
      </c>
      <c r="I658" s="4">
        <f t="shared" si="701"/>
        <v>49645</v>
      </c>
      <c r="J658" s="22">
        <f>ROUND(VLOOKUP(D658,[1]物品容器!$T$3:$U$8,2,FALSE)*M658,0)*0.5</f>
        <v>49645</v>
      </c>
      <c r="K658" s="18">
        <f t="shared" si="702"/>
        <v>49645</v>
      </c>
      <c r="L658" s="18">
        <f t="shared" ref="L658:O658" si="721">ROUND($I658*L$2,0)</f>
        <v>29787</v>
      </c>
      <c r="M658" s="7">
        <v>0.9929</v>
      </c>
      <c r="N658" s="18">
        <f t="shared" si="721"/>
        <v>7447</v>
      </c>
      <c r="O658" s="18">
        <f t="shared" si="721"/>
        <v>744675</v>
      </c>
      <c r="P658" s="18">
        <f t="shared" si="704"/>
        <v>446.805</v>
      </c>
      <c r="Q658" s="18">
        <f t="shared" si="705"/>
        <v>2474</v>
      </c>
      <c r="R658" s="42" t="s">
        <v>1305</v>
      </c>
      <c r="S658" s="4" t="e">
        <f t="shared" si="706"/>
        <v>#N/A</v>
      </c>
      <c r="W658" s="4"/>
      <c r="X658" s="4"/>
      <c r="AD658" s="4"/>
      <c r="AE658" s="4"/>
    </row>
    <row r="659" s="2" customFormat="1" spans="1:31">
      <c r="A659" s="4">
        <v>657</v>
      </c>
      <c r="B659" s="5" t="s">
        <v>1306</v>
      </c>
      <c r="C659" s="4" t="s">
        <v>1195</v>
      </c>
      <c r="D659" s="22" t="s">
        <v>41</v>
      </c>
      <c r="E659" s="4">
        <v>63</v>
      </c>
      <c r="F659" s="5">
        <v>1</v>
      </c>
      <c r="G659" s="5">
        <v>1</v>
      </c>
      <c r="H659" s="6">
        <f t="shared" si="700"/>
        <v>1</v>
      </c>
      <c r="I659" s="4">
        <f t="shared" si="701"/>
        <v>49695</v>
      </c>
      <c r="J659" s="22">
        <f>ROUND(VLOOKUP(D659,[1]物品容器!$T$3:$U$8,2,FALSE)*M659,0)*0.5</f>
        <v>49695</v>
      </c>
      <c r="K659" s="18">
        <f t="shared" si="702"/>
        <v>49695</v>
      </c>
      <c r="L659" s="18">
        <f t="shared" ref="L659:O659" si="722">ROUND($I659*L$2,0)</f>
        <v>29817</v>
      </c>
      <c r="M659" s="7">
        <v>0.9939</v>
      </c>
      <c r="N659" s="18">
        <f t="shared" si="722"/>
        <v>7454</v>
      </c>
      <c r="O659" s="18">
        <f t="shared" si="722"/>
        <v>745425</v>
      </c>
      <c r="P659" s="18">
        <f t="shared" si="704"/>
        <v>447.255</v>
      </c>
      <c r="Q659" s="18">
        <f t="shared" si="705"/>
        <v>2476</v>
      </c>
      <c r="R659" s="42" t="s">
        <v>1306</v>
      </c>
      <c r="S659" s="4" t="e">
        <f t="shared" si="706"/>
        <v>#N/A</v>
      </c>
      <c r="W659" s="4"/>
      <c r="X659" s="4"/>
      <c r="AD659" s="4"/>
      <c r="AE659" s="4"/>
    </row>
    <row r="660" s="2" customFormat="1" spans="1:31">
      <c r="A660" s="4">
        <v>658</v>
      </c>
      <c r="B660" s="5" t="s">
        <v>1307</v>
      </c>
      <c r="C660" s="4" t="s">
        <v>1195</v>
      </c>
      <c r="D660" s="22" t="s">
        <v>41</v>
      </c>
      <c r="E660" s="4">
        <v>64</v>
      </c>
      <c r="F660" s="5">
        <v>1</v>
      </c>
      <c r="G660" s="5">
        <v>1</v>
      </c>
      <c r="H660" s="6">
        <f t="shared" si="700"/>
        <v>1</v>
      </c>
      <c r="I660" s="4">
        <f t="shared" si="701"/>
        <v>49750</v>
      </c>
      <c r="J660" s="22">
        <f>ROUND(VLOOKUP(D660,[1]物品容器!$T$3:$U$8,2,FALSE)*M660,0)*0.5</f>
        <v>49750</v>
      </c>
      <c r="K660" s="18">
        <f t="shared" si="702"/>
        <v>49750</v>
      </c>
      <c r="L660" s="18">
        <f t="shared" ref="L660:O660" si="723">ROUND($I660*L$2,0)</f>
        <v>29850</v>
      </c>
      <c r="M660" s="7">
        <v>0.995</v>
      </c>
      <c r="N660" s="18">
        <f t="shared" si="723"/>
        <v>7463</v>
      </c>
      <c r="O660" s="18">
        <f t="shared" si="723"/>
        <v>746250</v>
      </c>
      <c r="P660" s="18">
        <f t="shared" si="704"/>
        <v>447.75</v>
      </c>
      <c r="Q660" s="18">
        <f t="shared" si="705"/>
        <v>2479</v>
      </c>
      <c r="R660" s="42" t="s">
        <v>1307</v>
      </c>
      <c r="S660" s="4" t="e">
        <f t="shared" si="706"/>
        <v>#N/A</v>
      </c>
      <c r="W660" s="4"/>
      <c r="X660" s="4"/>
      <c r="AD660" s="4"/>
      <c r="AE660" s="4"/>
    </row>
    <row r="661" s="2" customFormat="1" spans="1:31">
      <c r="A661" s="4">
        <v>659</v>
      </c>
      <c r="B661" s="5" t="s">
        <v>1308</v>
      </c>
      <c r="C661" s="4" t="s">
        <v>1195</v>
      </c>
      <c r="D661" s="24" t="s">
        <v>63</v>
      </c>
      <c r="E661" s="4">
        <v>65</v>
      </c>
      <c r="F661" s="5">
        <v>1</v>
      </c>
      <c r="G661" s="5">
        <v>1</v>
      </c>
      <c r="H661" s="6">
        <f t="shared" si="700"/>
        <v>1</v>
      </c>
      <c r="I661" s="4">
        <f t="shared" si="701"/>
        <v>14949</v>
      </c>
      <c r="J661" s="22">
        <f>ROUND(VLOOKUP(D661,[1]物品容器!$T$3:$U$8,2,FALSE)*M661,0)*0.5</f>
        <v>14949</v>
      </c>
      <c r="K661" s="18">
        <f t="shared" si="702"/>
        <v>14949</v>
      </c>
      <c r="L661" s="18">
        <f t="shared" ref="L661:O661" si="724">ROUND($I661*L$2,0)</f>
        <v>8969</v>
      </c>
      <c r="M661" s="7">
        <v>0.9966</v>
      </c>
      <c r="N661" s="18">
        <f t="shared" si="724"/>
        <v>2242</v>
      </c>
      <c r="O661" s="18">
        <f t="shared" si="724"/>
        <v>224235</v>
      </c>
      <c r="P661" s="18">
        <f t="shared" si="704"/>
        <v>134.535</v>
      </c>
      <c r="Q661" s="18">
        <f t="shared" si="705"/>
        <v>745</v>
      </c>
      <c r="R661" s="42" t="s">
        <v>1308</v>
      </c>
      <c r="S661" s="4" t="e">
        <f t="shared" si="706"/>
        <v>#N/A</v>
      </c>
      <c r="W661" s="4"/>
      <c r="X661" s="4"/>
      <c r="AD661" s="4"/>
      <c r="AE661" s="4"/>
    </row>
    <row r="662" s="2" customFormat="1" spans="1:31">
      <c r="A662" s="4">
        <v>660</v>
      </c>
      <c r="B662" s="5" t="s">
        <v>1309</v>
      </c>
      <c r="C662" s="4" t="s">
        <v>1195</v>
      </c>
      <c r="D662" s="24" t="s">
        <v>63</v>
      </c>
      <c r="E662" s="4">
        <v>66</v>
      </c>
      <c r="F662" s="5">
        <v>1</v>
      </c>
      <c r="G662" s="5">
        <v>1</v>
      </c>
      <c r="H662" s="6">
        <f t="shared" si="700"/>
        <v>1</v>
      </c>
      <c r="I662" s="4">
        <f t="shared" si="701"/>
        <v>14850</v>
      </c>
      <c r="J662" s="22">
        <f>ROUND(VLOOKUP(D662,[1]物品容器!$T$3:$U$8,2,FALSE)*M662,0)*0.5</f>
        <v>14850</v>
      </c>
      <c r="K662" s="18">
        <f t="shared" si="702"/>
        <v>14850</v>
      </c>
      <c r="L662" s="18">
        <f t="shared" ref="L662:O662" si="725">ROUND($I662*L$2,0)</f>
        <v>8910</v>
      </c>
      <c r="M662" s="7">
        <v>0.99</v>
      </c>
      <c r="N662" s="18">
        <f t="shared" si="725"/>
        <v>2228</v>
      </c>
      <c r="O662" s="18">
        <f t="shared" si="725"/>
        <v>222750</v>
      </c>
      <c r="P662" s="18">
        <f t="shared" si="704"/>
        <v>133.65</v>
      </c>
      <c r="Q662" s="18">
        <f t="shared" si="705"/>
        <v>740</v>
      </c>
      <c r="R662" s="42" t="s">
        <v>1309</v>
      </c>
      <c r="S662" s="4" t="e">
        <f t="shared" si="706"/>
        <v>#N/A</v>
      </c>
      <c r="W662" s="4"/>
      <c r="X662" s="4"/>
      <c r="AD662" s="4"/>
      <c r="AE662" s="4"/>
    </row>
    <row r="663" s="2" customFormat="1" spans="1:31">
      <c r="A663" s="4">
        <v>661</v>
      </c>
      <c r="B663" s="5" t="s">
        <v>1310</v>
      </c>
      <c r="C663" s="4" t="s">
        <v>1195</v>
      </c>
      <c r="D663" s="24" t="s">
        <v>63</v>
      </c>
      <c r="E663" s="4">
        <v>67</v>
      </c>
      <c r="F663" s="5">
        <v>1</v>
      </c>
      <c r="G663" s="5">
        <v>1</v>
      </c>
      <c r="H663" s="6">
        <f t="shared" si="700"/>
        <v>1</v>
      </c>
      <c r="I663" s="4">
        <f t="shared" si="701"/>
        <v>14880</v>
      </c>
      <c r="J663" s="22">
        <f>ROUND(VLOOKUP(D663,[1]物品容器!$T$3:$U$8,2,FALSE)*M663,0)*0.5</f>
        <v>14880</v>
      </c>
      <c r="K663" s="18">
        <f t="shared" si="702"/>
        <v>14880</v>
      </c>
      <c r="L663" s="18">
        <f t="shared" ref="L663:O663" si="726">ROUND($I663*L$2,0)</f>
        <v>8928</v>
      </c>
      <c r="M663" s="7">
        <v>0.992</v>
      </c>
      <c r="N663" s="18">
        <f t="shared" si="726"/>
        <v>2232</v>
      </c>
      <c r="O663" s="18">
        <f t="shared" si="726"/>
        <v>223200</v>
      </c>
      <c r="P663" s="18">
        <f t="shared" si="704"/>
        <v>133.92</v>
      </c>
      <c r="Q663" s="18">
        <f t="shared" si="705"/>
        <v>741</v>
      </c>
      <c r="R663" s="42" t="s">
        <v>1310</v>
      </c>
      <c r="S663" s="4" t="e">
        <f t="shared" si="706"/>
        <v>#N/A</v>
      </c>
      <c r="W663" s="4"/>
      <c r="X663" s="4"/>
      <c r="AD663" s="4"/>
      <c r="AE663" s="4"/>
    </row>
    <row r="664" s="2" customFormat="1" spans="1:31">
      <c r="A664" s="4">
        <v>662</v>
      </c>
      <c r="B664" s="5" t="s">
        <v>1311</v>
      </c>
      <c r="C664" s="4" t="s">
        <v>1195</v>
      </c>
      <c r="D664" s="24" t="s">
        <v>63</v>
      </c>
      <c r="E664" s="4">
        <v>68</v>
      </c>
      <c r="F664" s="5">
        <v>1</v>
      </c>
      <c r="G664" s="5">
        <v>1</v>
      </c>
      <c r="H664" s="6">
        <f t="shared" si="700"/>
        <v>1</v>
      </c>
      <c r="I664" s="4">
        <f t="shared" si="701"/>
        <v>14970</v>
      </c>
      <c r="J664" s="22">
        <f>ROUND(VLOOKUP(D664,[1]物品容器!$T$3:$U$8,2,FALSE)*M664,0)*0.5</f>
        <v>14970</v>
      </c>
      <c r="K664" s="18">
        <f t="shared" si="702"/>
        <v>14970</v>
      </c>
      <c r="L664" s="18">
        <f t="shared" ref="L664:O664" si="727">ROUND($I664*L$2,0)</f>
        <v>8982</v>
      </c>
      <c r="M664" s="7">
        <v>0.998</v>
      </c>
      <c r="N664" s="18">
        <f t="shared" si="727"/>
        <v>2246</v>
      </c>
      <c r="O664" s="18">
        <f t="shared" si="727"/>
        <v>224550</v>
      </c>
      <c r="P664" s="18">
        <f t="shared" si="704"/>
        <v>134.73</v>
      </c>
      <c r="Q664" s="18">
        <f t="shared" si="705"/>
        <v>746</v>
      </c>
      <c r="R664" s="42" t="s">
        <v>1311</v>
      </c>
      <c r="S664" s="4" t="e">
        <f t="shared" si="706"/>
        <v>#N/A</v>
      </c>
      <c r="W664" s="4"/>
      <c r="X664" s="4"/>
      <c r="AD664" s="4"/>
      <c r="AE664" s="4"/>
    </row>
    <row r="665" s="2" customFormat="1" spans="1:31">
      <c r="A665" s="4">
        <v>663</v>
      </c>
      <c r="B665" s="5" t="s">
        <v>1312</v>
      </c>
      <c r="C665" s="4" t="s">
        <v>1195</v>
      </c>
      <c r="D665" s="24" t="s">
        <v>63</v>
      </c>
      <c r="E665" s="4">
        <v>69</v>
      </c>
      <c r="F665" s="5">
        <v>1</v>
      </c>
      <c r="G665" s="5">
        <v>1</v>
      </c>
      <c r="H665" s="6">
        <f t="shared" si="700"/>
        <v>1</v>
      </c>
      <c r="I665" s="4">
        <f t="shared" si="701"/>
        <v>15129</v>
      </c>
      <c r="J665" s="22">
        <f>ROUND(VLOOKUP(D665,[1]物品容器!$T$3:$U$8,2,FALSE)*M665,0)*0.5</f>
        <v>15129</v>
      </c>
      <c r="K665" s="18">
        <f t="shared" si="702"/>
        <v>15129</v>
      </c>
      <c r="L665" s="18">
        <f t="shared" ref="L665:O665" si="728">ROUND($I665*L$2,0)</f>
        <v>9077</v>
      </c>
      <c r="M665" s="7">
        <v>1.0086</v>
      </c>
      <c r="N665" s="18">
        <f t="shared" si="728"/>
        <v>2269</v>
      </c>
      <c r="O665" s="18">
        <f t="shared" si="728"/>
        <v>226935</v>
      </c>
      <c r="P665" s="18">
        <f t="shared" si="704"/>
        <v>136.155</v>
      </c>
      <c r="Q665" s="18">
        <f t="shared" si="705"/>
        <v>754</v>
      </c>
      <c r="R665" s="42" t="s">
        <v>1312</v>
      </c>
      <c r="S665" s="4" t="e">
        <f t="shared" si="706"/>
        <v>#N/A</v>
      </c>
      <c r="W665" s="4"/>
      <c r="X665" s="4"/>
      <c r="AD665" s="4"/>
      <c r="AE665" s="4"/>
    </row>
    <row r="666" s="2" customFormat="1" spans="1:31">
      <c r="A666" s="4">
        <v>664</v>
      </c>
      <c r="B666" s="5" t="s">
        <v>1313</v>
      </c>
      <c r="C666" s="4" t="s">
        <v>1195</v>
      </c>
      <c r="D666" s="24" t="s">
        <v>63</v>
      </c>
      <c r="E666" s="4">
        <v>70</v>
      </c>
      <c r="F666" s="5">
        <v>1</v>
      </c>
      <c r="G666" s="5">
        <v>1</v>
      </c>
      <c r="H666" s="6">
        <f t="shared" si="700"/>
        <v>1</v>
      </c>
      <c r="I666" s="4">
        <f t="shared" si="701"/>
        <v>14960</v>
      </c>
      <c r="J666" s="22">
        <f>ROUND(VLOOKUP(D666,[1]物品容器!$T$3:$U$8,2,FALSE)*M666,0)*0.5</f>
        <v>14959.5</v>
      </c>
      <c r="K666" s="18">
        <f t="shared" si="702"/>
        <v>14960</v>
      </c>
      <c r="L666" s="18">
        <f t="shared" ref="L666:O666" si="729">ROUND($I666*L$2,0)</f>
        <v>8976</v>
      </c>
      <c r="M666" s="7">
        <v>0.9973</v>
      </c>
      <c r="N666" s="18">
        <f t="shared" si="729"/>
        <v>2244</v>
      </c>
      <c r="O666" s="18">
        <f t="shared" si="729"/>
        <v>224400</v>
      </c>
      <c r="P666" s="18">
        <f t="shared" si="704"/>
        <v>134.64</v>
      </c>
      <c r="Q666" s="18">
        <f t="shared" si="705"/>
        <v>745</v>
      </c>
      <c r="R666" s="42" t="s">
        <v>1313</v>
      </c>
      <c r="S666" s="4" t="e">
        <f t="shared" si="706"/>
        <v>#N/A</v>
      </c>
      <c r="W666" s="4"/>
      <c r="X666" s="4"/>
      <c r="AD666" s="4"/>
      <c r="AE666" s="4"/>
    </row>
    <row r="667" s="2" customFormat="1" spans="1:31">
      <c r="A667" s="4">
        <v>665</v>
      </c>
      <c r="B667" s="5" t="s">
        <v>1314</v>
      </c>
      <c r="C667" s="4" t="s">
        <v>1195</v>
      </c>
      <c r="D667" s="24" t="s">
        <v>63</v>
      </c>
      <c r="E667" s="4">
        <v>71</v>
      </c>
      <c r="F667" s="5">
        <v>1</v>
      </c>
      <c r="G667" s="5">
        <v>1</v>
      </c>
      <c r="H667" s="6">
        <f t="shared" si="700"/>
        <v>1</v>
      </c>
      <c r="I667" s="4">
        <f t="shared" si="701"/>
        <v>15141</v>
      </c>
      <c r="J667" s="22">
        <f>ROUND(VLOOKUP(D667,[1]物品容器!$T$3:$U$8,2,FALSE)*M667,0)*0.5</f>
        <v>15141</v>
      </c>
      <c r="K667" s="18">
        <f t="shared" si="702"/>
        <v>15141</v>
      </c>
      <c r="L667" s="18">
        <f t="shared" ref="L667:O667" si="730">ROUND($I667*L$2,0)</f>
        <v>9085</v>
      </c>
      <c r="M667" s="7">
        <v>1.0094</v>
      </c>
      <c r="N667" s="18">
        <f t="shared" si="730"/>
        <v>2271</v>
      </c>
      <c r="O667" s="18">
        <f t="shared" si="730"/>
        <v>227115</v>
      </c>
      <c r="P667" s="18">
        <f t="shared" si="704"/>
        <v>136.275</v>
      </c>
      <c r="Q667" s="18">
        <f t="shared" si="705"/>
        <v>754</v>
      </c>
      <c r="R667" s="42" t="s">
        <v>1314</v>
      </c>
      <c r="S667" s="4" t="e">
        <f t="shared" si="706"/>
        <v>#N/A</v>
      </c>
      <c r="W667" s="4"/>
      <c r="X667" s="4"/>
      <c r="AD667" s="4"/>
      <c r="AE667" s="4"/>
    </row>
    <row r="668" s="2" customFormat="1" spans="1:31">
      <c r="A668" s="4">
        <v>666</v>
      </c>
      <c r="B668" s="5" t="s">
        <v>1315</v>
      </c>
      <c r="C668" s="4" t="s">
        <v>1195</v>
      </c>
      <c r="D668" s="24" t="s">
        <v>63</v>
      </c>
      <c r="E668" s="4">
        <v>72</v>
      </c>
      <c r="F668" s="5">
        <v>1</v>
      </c>
      <c r="G668" s="5">
        <v>1</v>
      </c>
      <c r="H668" s="6">
        <f t="shared" si="700"/>
        <v>1</v>
      </c>
      <c r="I668" s="4">
        <f t="shared" si="701"/>
        <v>14906</v>
      </c>
      <c r="J668" s="22">
        <f>ROUND(VLOOKUP(D668,[1]物品容器!$T$3:$U$8,2,FALSE)*M668,0)*0.5</f>
        <v>14905.5</v>
      </c>
      <c r="K668" s="18">
        <f t="shared" si="702"/>
        <v>14906</v>
      </c>
      <c r="L668" s="18">
        <f t="shared" ref="L668:O668" si="731">ROUND($I668*L$2,0)</f>
        <v>8944</v>
      </c>
      <c r="M668" s="7">
        <v>0.9937</v>
      </c>
      <c r="N668" s="18">
        <f t="shared" si="731"/>
        <v>2236</v>
      </c>
      <c r="O668" s="18">
        <f t="shared" si="731"/>
        <v>223590</v>
      </c>
      <c r="P668" s="18">
        <f t="shared" si="704"/>
        <v>134.16</v>
      </c>
      <c r="Q668" s="18">
        <f t="shared" si="705"/>
        <v>743</v>
      </c>
      <c r="R668" s="42" t="s">
        <v>1315</v>
      </c>
      <c r="S668" s="4" t="e">
        <f t="shared" si="706"/>
        <v>#N/A</v>
      </c>
      <c r="W668" s="4"/>
      <c r="X668" s="4"/>
      <c r="AD668" s="4"/>
      <c r="AE668" s="4"/>
    </row>
    <row r="669" s="2" customFormat="1" spans="1:31">
      <c r="A669" s="4">
        <v>667</v>
      </c>
      <c r="B669" s="5" t="s">
        <v>1316</v>
      </c>
      <c r="C669" s="4" t="s">
        <v>1195</v>
      </c>
      <c r="D669" s="24" t="s">
        <v>63</v>
      </c>
      <c r="E669" s="4">
        <v>73</v>
      </c>
      <c r="F669" s="5">
        <v>1</v>
      </c>
      <c r="G669" s="5">
        <v>1</v>
      </c>
      <c r="H669" s="6">
        <f t="shared" si="700"/>
        <v>1</v>
      </c>
      <c r="I669" s="4">
        <f t="shared" si="701"/>
        <v>15026</v>
      </c>
      <c r="J669" s="22">
        <f>ROUND(VLOOKUP(D669,[1]物品容器!$T$3:$U$8,2,FALSE)*M669,0)*0.5</f>
        <v>15025.5</v>
      </c>
      <c r="K669" s="18">
        <f t="shared" si="702"/>
        <v>15026</v>
      </c>
      <c r="L669" s="18">
        <f t="shared" ref="L669:O669" si="732">ROUND($I669*L$2,0)</f>
        <v>9016</v>
      </c>
      <c r="M669" s="7">
        <v>1.0017</v>
      </c>
      <c r="N669" s="18">
        <f t="shared" si="732"/>
        <v>2254</v>
      </c>
      <c r="O669" s="18">
        <f t="shared" si="732"/>
        <v>225390</v>
      </c>
      <c r="P669" s="18">
        <f t="shared" si="704"/>
        <v>135.24</v>
      </c>
      <c r="Q669" s="18">
        <f t="shared" si="705"/>
        <v>749</v>
      </c>
      <c r="R669" s="42" t="s">
        <v>1316</v>
      </c>
      <c r="S669" s="4" t="e">
        <f t="shared" si="706"/>
        <v>#N/A</v>
      </c>
      <c r="W669" s="4"/>
      <c r="X669" s="4"/>
      <c r="AD669" s="4"/>
      <c r="AE669" s="4"/>
    </row>
    <row r="670" s="2" customFormat="1" spans="1:31">
      <c r="A670" s="4">
        <v>668</v>
      </c>
      <c r="B670" s="5" t="s">
        <v>1317</v>
      </c>
      <c r="C670" s="4" t="s">
        <v>1195</v>
      </c>
      <c r="D670" s="24" t="s">
        <v>63</v>
      </c>
      <c r="E670" s="4">
        <v>74</v>
      </c>
      <c r="F670" s="5">
        <v>1</v>
      </c>
      <c r="G670" s="5">
        <v>1</v>
      </c>
      <c r="H670" s="6">
        <f t="shared" si="700"/>
        <v>1</v>
      </c>
      <c r="I670" s="4">
        <f t="shared" si="701"/>
        <v>14898</v>
      </c>
      <c r="J670" s="22">
        <f>ROUND(VLOOKUP(D670,[1]物品容器!$T$3:$U$8,2,FALSE)*M670,0)*0.5</f>
        <v>14898</v>
      </c>
      <c r="K670" s="18">
        <f t="shared" si="702"/>
        <v>14898</v>
      </c>
      <c r="L670" s="18">
        <f t="shared" ref="L670:O670" si="733">ROUND($I670*L$2,0)</f>
        <v>8939</v>
      </c>
      <c r="M670" s="7">
        <v>0.9932</v>
      </c>
      <c r="N670" s="18">
        <f t="shared" si="733"/>
        <v>2235</v>
      </c>
      <c r="O670" s="18">
        <f t="shared" si="733"/>
        <v>223470</v>
      </c>
      <c r="P670" s="18">
        <f t="shared" si="704"/>
        <v>134.085</v>
      </c>
      <c r="Q670" s="18">
        <f t="shared" si="705"/>
        <v>742</v>
      </c>
      <c r="R670" s="42" t="s">
        <v>1317</v>
      </c>
      <c r="S670" s="4" t="e">
        <f t="shared" si="706"/>
        <v>#N/A</v>
      </c>
      <c r="W670" s="4"/>
      <c r="X670" s="4"/>
      <c r="AD670" s="4"/>
      <c r="AE670" s="4"/>
    </row>
    <row r="671" s="2" customFormat="1" spans="1:31">
      <c r="A671" s="4">
        <v>669</v>
      </c>
      <c r="B671" s="5" t="s">
        <v>1318</v>
      </c>
      <c r="C671" s="4" t="s">
        <v>1195</v>
      </c>
      <c r="D671" s="24" t="s">
        <v>63</v>
      </c>
      <c r="E671" s="4">
        <v>75</v>
      </c>
      <c r="F671" s="5">
        <v>1</v>
      </c>
      <c r="G671" s="5">
        <v>1</v>
      </c>
      <c r="H671" s="6">
        <f t="shared" si="700"/>
        <v>1</v>
      </c>
      <c r="I671" s="4">
        <f t="shared" si="701"/>
        <v>14993</v>
      </c>
      <c r="J671" s="22">
        <f>ROUND(VLOOKUP(D671,[1]物品容器!$T$3:$U$8,2,FALSE)*M671,0)*0.5</f>
        <v>14992.5</v>
      </c>
      <c r="K671" s="18">
        <f t="shared" si="702"/>
        <v>14993</v>
      </c>
      <c r="L671" s="18">
        <f t="shared" ref="L671:O671" si="734">ROUND($I671*L$2,0)</f>
        <v>8996</v>
      </c>
      <c r="M671" s="7">
        <v>0.9995</v>
      </c>
      <c r="N671" s="18">
        <f t="shared" si="734"/>
        <v>2249</v>
      </c>
      <c r="O671" s="18">
        <f t="shared" si="734"/>
        <v>224895</v>
      </c>
      <c r="P671" s="18">
        <f t="shared" si="704"/>
        <v>134.94</v>
      </c>
      <c r="Q671" s="18">
        <f t="shared" si="705"/>
        <v>747</v>
      </c>
      <c r="R671" s="42" t="s">
        <v>1318</v>
      </c>
      <c r="S671" s="4" t="e">
        <f t="shared" si="706"/>
        <v>#N/A</v>
      </c>
      <c r="W671" s="4"/>
      <c r="X671" s="4"/>
      <c r="AD671" s="4"/>
      <c r="AE671" s="4"/>
    </row>
    <row r="672" s="2" customFormat="1" spans="1:31">
      <c r="A672" s="4">
        <v>670</v>
      </c>
      <c r="B672" s="5" t="s">
        <v>1319</v>
      </c>
      <c r="C672" s="4" t="s">
        <v>1195</v>
      </c>
      <c r="D672" s="24" t="s">
        <v>63</v>
      </c>
      <c r="E672" s="4">
        <v>76</v>
      </c>
      <c r="F672" s="5">
        <v>1</v>
      </c>
      <c r="G672" s="5">
        <v>1</v>
      </c>
      <c r="H672" s="6">
        <f t="shared" si="700"/>
        <v>1</v>
      </c>
      <c r="I672" s="4">
        <f t="shared" si="701"/>
        <v>15087</v>
      </c>
      <c r="J672" s="22">
        <f>ROUND(VLOOKUP(D672,[1]物品容器!$T$3:$U$8,2,FALSE)*M672,0)*0.5</f>
        <v>15087</v>
      </c>
      <c r="K672" s="18">
        <f t="shared" si="702"/>
        <v>15087</v>
      </c>
      <c r="L672" s="18">
        <f t="shared" ref="L672:O672" si="735">ROUND($I672*L$2,0)</f>
        <v>9052</v>
      </c>
      <c r="M672" s="7">
        <v>1.0058</v>
      </c>
      <c r="N672" s="18">
        <f t="shared" si="735"/>
        <v>2263</v>
      </c>
      <c r="O672" s="18">
        <f t="shared" si="735"/>
        <v>226305</v>
      </c>
      <c r="P672" s="18">
        <f t="shared" si="704"/>
        <v>135.78</v>
      </c>
      <c r="Q672" s="18">
        <f t="shared" si="705"/>
        <v>752</v>
      </c>
      <c r="R672" s="42" t="s">
        <v>1319</v>
      </c>
      <c r="S672" s="4" t="e">
        <f t="shared" si="706"/>
        <v>#N/A</v>
      </c>
      <c r="W672" s="4"/>
      <c r="X672" s="4"/>
      <c r="AD672" s="4"/>
      <c r="AE672" s="4"/>
    </row>
    <row r="673" s="2" customFormat="1" spans="1:31">
      <c r="A673" s="4">
        <v>671</v>
      </c>
      <c r="B673" s="5" t="s">
        <v>1320</v>
      </c>
      <c r="C673" s="4" t="s">
        <v>1195</v>
      </c>
      <c r="D673" s="24" t="s">
        <v>63</v>
      </c>
      <c r="E673" s="4">
        <v>77</v>
      </c>
      <c r="F673" s="5">
        <v>1</v>
      </c>
      <c r="G673" s="5">
        <v>1</v>
      </c>
      <c r="H673" s="6">
        <f t="shared" si="700"/>
        <v>1</v>
      </c>
      <c r="I673" s="4">
        <f t="shared" si="701"/>
        <v>14888</v>
      </c>
      <c r="J673" s="22">
        <f>ROUND(VLOOKUP(D673,[1]物品容器!$T$3:$U$8,2,FALSE)*M673,0)*0.5</f>
        <v>14887.5</v>
      </c>
      <c r="K673" s="18">
        <f t="shared" si="702"/>
        <v>14888</v>
      </c>
      <c r="L673" s="18">
        <f t="shared" ref="L673:O673" si="736">ROUND($I673*L$2,0)</f>
        <v>8933</v>
      </c>
      <c r="M673" s="7">
        <v>0.9925</v>
      </c>
      <c r="N673" s="18">
        <f t="shared" si="736"/>
        <v>2233</v>
      </c>
      <c r="O673" s="18">
        <f t="shared" si="736"/>
        <v>223320</v>
      </c>
      <c r="P673" s="18">
        <f t="shared" si="704"/>
        <v>133.995</v>
      </c>
      <c r="Q673" s="18">
        <f t="shared" si="705"/>
        <v>742</v>
      </c>
      <c r="R673" s="42" t="s">
        <v>1320</v>
      </c>
      <c r="S673" s="4" t="e">
        <f t="shared" si="706"/>
        <v>#N/A</v>
      </c>
      <c r="W673" s="4"/>
      <c r="X673" s="4"/>
      <c r="AD673" s="4"/>
      <c r="AE673" s="4"/>
    </row>
    <row r="674" s="2" customFormat="1" spans="1:31">
      <c r="A674" s="4">
        <v>672</v>
      </c>
      <c r="B674" s="5" t="s">
        <v>1321</v>
      </c>
      <c r="C674" s="4" t="s">
        <v>1195</v>
      </c>
      <c r="D674" s="24" t="s">
        <v>63</v>
      </c>
      <c r="E674" s="4">
        <v>78</v>
      </c>
      <c r="F674" s="5">
        <v>1</v>
      </c>
      <c r="G674" s="5">
        <v>1</v>
      </c>
      <c r="H674" s="6">
        <f t="shared" si="700"/>
        <v>1</v>
      </c>
      <c r="I674" s="4">
        <f t="shared" si="701"/>
        <v>14991</v>
      </c>
      <c r="J674" s="22">
        <f>ROUND(VLOOKUP(D674,[1]物品容器!$T$3:$U$8,2,FALSE)*M674,0)*0.5</f>
        <v>14991</v>
      </c>
      <c r="K674" s="18">
        <f t="shared" si="702"/>
        <v>14991</v>
      </c>
      <c r="L674" s="18">
        <f t="shared" ref="L674:O674" si="737">ROUND($I674*L$2,0)</f>
        <v>8995</v>
      </c>
      <c r="M674" s="7">
        <v>0.9994</v>
      </c>
      <c r="N674" s="18">
        <f t="shared" si="737"/>
        <v>2249</v>
      </c>
      <c r="O674" s="18">
        <f t="shared" si="737"/>
        <v>224865</v>
      </c>
      <c r="P674" s="18">
        <f t="shared" si="704"/>
        <v>134.925</v>
      </c>
      <c r="Q674" s="18">
        <f t="shared" si="705"/>
        <v>747</v>
      </c>
      <c r="R674" s="42" t="s">
        <v>1321</v>
      </c>
      <c r="S674" s="4" t="e">
        <f t="shared" si="706"/>
        <v>#N/A</v>
      </c>
      <c r="W674" s="4"/>
      <c r="X674" s="4"/>
      <c r="AD674" s="4"/>
      <c r="AE674" s="4"/>
    </row>
    <row r="675" s="2" customFormat="1" spans="1:31">
      <c r="A675" s="4">
        <v>673</v>
      </c>
      <c r="B675" s="5" t="s">
        <v>1322</v>
      </c>
      <c r="C675" s="4" t="s">
        <v>1195</v>
      </c>
      <c r="D675" s="24" t="s">
        <v>63</v>
      </c>
      <c r="E675" s="4">
        <v>79</v>
      </c>
      <c r="F675" s="5">
        <v>1</v>
      </c>
      <c r="G675" s="5">
        <v>1</v>
      </c>
      <c r="H675" s="6">
        <f t="shared" si="700"/>
        <v>1</v>
      </c>
      <c r="I675" s="4">
        <f t="shared" si="701"/>
        <v>14949</v>
      </c>
      <c r="J675" s="22">
        <f>ROUND(VLOOKUP(D675,[1]物品容器!$T$3:$U$8,2,FALSE)*M675,0)*0.5</f>
        <v>14949</v>
      </c>
      <c r="K675" s="18">
        <f t="shared" si="702"/>
        <v>14949</v>
      </c>
      <c r="L675" s="18">
        <f t="shared" ref="L675:O675" si="738">ROUND($I675*L$2,0)</f>
        <v>8969</v>
      </c>
      <c r="M675" s="7">
        <v>0.9966</v>
      </c>
      <c r="N675" s="18">
        <f t="shared" si="738"/>
        <v>2242</v>
      </c>
      <c r="O675" s="18">
        <f t="shared" si="738"/>
        <v>224235</v>
      </c>
      <c r="P675" s="18">
        <f t="shared" si="704"/>
        <v>134.535</v>
      </c>
      <c r="Q675" s="18">
        <f t="shared" si="705"/>
        <v>745</v>
      </c>
      <c r="R675" s="42" t="s">
        <v>1322</v>
      </c>
      <c r="S675" s="4" t="e">
        <f t="shared" si="706"/>
        <v>#N/A</v>
      </c>
      <c r="W675" s="4"/>
      <c r="X675" s="4"/>
      <c r="AD675" s="4"/>
      <c r="AE675" s="4"/>
    </row>
    <row r="676" s="2" customFormat="1" spans="1:31">
      <c r="A676" s="4">
        <v>674</v>
      </c>
      <c r="B676" s="5" t="s">
        <v>1323</v>
      </c>
      <c r="C676" s="4" t="s">
        <v>1195</v>
      </c>
      <c r="D676" s="24" t="s">
        <v>63</v>
      </c>
      <c r="E676" s="4">
        <v>80</v>
      </c>
      <c r="F676" s="5">
        <v>1</v>
      </c>
      <c r="G676" s="5">
        <v>1</v>
      </c>
      <c r="H676" s="6">
        <f t="shared" si="700"/>
        <v>1</v>
      </c>
      <c r="I676" s="4">
        <f t="shared" si="701"/>
        <v>14940</v>
      </c>
      <c r="J676" s="22">
        <f>ROUND(VLOOKUP(D676,[1]物品容器!$T$3:$U$8,2,FALSE)*M676,0)*0.5</f>
        <v>14940</v>
      </c>
      <c r="K676" s="18">
        <f t="shared" si="702"/>
        <v>14940</v>
      </c>
      <c r="L676" s="18">
        <f t="shared" ref="L676:O676" si="739">ROUND($I676*L$2,0)</f>
        <v>8964</v>
      </c>
      <c r="M676" s="7">
        <v>0.996</v>
      </c>
      <c r="N676" s="18">
        <f t="shared" si="739"/>
        <v>2241</v>
      </c>
      <c r="O676" s="18">
        <f t="shared" si="739"/>
        <v>224100</v>
      </c>
      <c r="P676" s="18">
        <f t="shared" si="704"/>
        <v>134.46</v>
      </c>
      <c r="Q676" s="18">
        <f t="shared" si="705"/>
        <v>744</v>
      </c>
      <c r="R676" s="42" t="s">
        <v>1323</v>
      </c>
      <c r="S676" s="4" t="e">
        <f t="shared" si="706"/>
        <v>#N/A</v>
      </c>
      <c r="W676" s="4"/>
      <c r="X676" s="4"/>
      <c r="AD676" s="4"/>
      <c r="AE676" s="4"/>
    </row>
    <row r="677" s="2" customFormat="1" spans="1:31">
      <c r="A677" s="4">
        <v>675</v>
      </c>
      <c r="B677" s="5" t="s">
        <v>1324</v>
      </c>
      <c r="C677" s="4" t="s">
        <v>1195</v>
      </c>
      <c r="D677" s="24" t="s">
        <v>63</v>
      </c>
      <c r="E677" s="4">
        <v>81</v>
      </c>
      <c r="F677" s="5">
        <v>1</v>
      </c>
      <c r="G677" s="5">
        <v>1</v>
      </c>
      <c r="H677" s="6">
        <f t="shared" si="700"/>
        <v>1</v>
      </c>
      <c r="I677" s="4">
        <f t="shared" si="701"/>
        <v>15119</v>
      </c>
      <c r="J677" s="22">
        <f>ROUND(VLOOKUP(D677,[1]物品容器!$T$3:$U$8,2,FALSE)*M677,0)*0.5</f>
        <v>15118.5</v>
      </c>
      <c r="K677" s="18">
        <f t="shared" si="702"/>
        <v>15119</v>
      </c>
      <c r="L677" s="18">
        <f t="shared" ref="L677:O677" si="740">ROUND($I677*L$2,0)</f>
        <v>9071</v>
      </c>
      <c r="M677" s="7">
        <v>1.0079</v>
      </c>
      <c r="N677" s="18">
        <f t="shared" si="740"/>
        <v>2268</v>
      </c>
      <c r="O677" s="18">
        <f t="shared" si="740"/>
        <v>226785</v>
      </c>
      <c r="P677" s="18">
        <f t="shared" si="704"/>
        <v>136.065</v>
      </c>
      <c r="Q677" s="18">
        <f t="shared" si="705"/>
        <v>753</v>
      </c>
      <c r="R677" s="42" t="s">
        <v>1324</v>
      </c>
      <c r="S677" s="4" t="e">
        <f t="shared" si="706"/>
        <v>#N/A</v>
      </c>
      <c r="W677" s="4"/>
      <c r="X677" s="4"/>
      <c r="AD677" s="4"/>
      <c r="AE677" s="4"/>
    </row>
    <row r="678" s="2" customFormat="1" spans="1:31">
      <c r="A678" s="4">
        <v>676</v>
      </c>
      <c r="B678" s="5" t="s">
        <v>1325</v>
      </c>
      <c r="C678" s="4" t="s">
        <v>1195</v>
      </c>
      <c r="D678" s="24" t="s">
        <v>63</v>
      </c>
      <c r="E678" s="4">
        <v>82</v>
      </c>
      <c r="F678" s="5">
        <v>1</v>
      </c>
      <c r="G678" s="5">
        <v>1</v>
      </c>
      <c r="H678" s="6">
        <f t="shared" si="700"/>
        <v>1</v>
      </c>
      <c r="I678" s="4">
        <f t="shared" si="701"/>
        <v>14894</v>
      </c>
      <c r="J678" s="22">
        <f>ROUND(VLOOKUP(D678,[1]物品容器!$T$3:$U$8,2,FALSE)*M678,0)*0.5</f>
        <v>14893.5</v>
      </c>
      <c r="K678" s="18">
        <f t="shared" si="702"/>
        <v>14894</v>
      </c>
      <c r="L678" s="18">
        <f t="shared" ref="L678:O678" si="741">ROUND($I678*L$2,0)</f>
        <v>8936</v>
      </c>
      <c r="M678" s="7">
        <v>0.9929</v>
      </c>
      <c r="N678" s="18">
        <f t="shared" si="741"/>
        <v>2234</v>
      </c>
      <c r="O678" s="18">
        <f t="shared" si="741"/>
        <v>223410</v>
      </c>
      <c r="P678" s="18">
        <f t="shared" si="704"/>
        <v>134.04</v>
      </c>
      <c r="Q678" s="18">
        <f t="shared" si="705"/>
        <v>742</v>
      </c>
      <c r="R678" s="42" t="s">
        <v>1325</v>
      </c>
      <c r="S678" s="4" t="e">
        <f t="shared" si="706"/>
        <v>#N/A</v>
      </c>
      <c r="W678" s="4"/>
      <c r="X678" s="4"/>
      <c r="AD678" s="4"/>
      <c r="AE678" s="4"/>
    </row>
    <row r="679" s="2" customFormat="1" spans="1:31">
      <c r="A679" s="4">
        <v>677</v>
      </c>
      <c r="B679" s="5" t="s">
        <v>1326</v>
      </c>
      <c r="C679" s="4" t="s">
        <v>1195</v>
      </c>
      <c r="D679" s="24" t="s">
        <v>63</v>
      </c>
      <c r="E679" s="4">
        <v>83</v>
      </c>
      <c r="F679" s="5">
        <v>1</v>
      </c>
      <c r="G679" s="5">
        <v>1</v>
      </c>
      <c r="H679" s="6">
        <f t="shared" si="700"/>
        <v>1</v>
      </c>
      <c r="I679" s="4">
        <f t="shared" si="701"/>
        <v>15110</v>
      </c>
      <c r="J679" s="22">
        <f>ROUND(VLOOKUP(D679,[1]物品容器!$T$3:$U$8,2,FALSE)*M679,0)*0.5</f>
        <v>15109.5</v>
      </c>
      <c r="K679" s="18">
        <f t="shared" si="702"/>
        <v>15110</v>
      </c>
      <c r="L679" s="18">
        <f t="shared" ref="L679:O679" si="742">ROUND($I679*L$2,0)</f>
        <v>9066</v>
      </c>
      <c r="M679" s="7">
        <v>1.0073</v>
      </c>
      <c r="N679" s="18">
        <f t="shared" si="742"/>
        <v>2267</v>
      </c>
      <c r="O679" s="18">
        <f t="shared" si="742"/>
        <v>226650</v>
      </c>
      <c r="P679" s="18">
        <f t="shared" si="704"/>
        <v>135.99</v>
      </c>
      <c r="Q679" s="18">
        <f t="shared" si="705"/>
        <v>753</v>
      </c>
      <c r="R679" s="42" t="s">
        <v>1326</v>
      </c>
      <c r="S679" s="4" t="e">
        <f t="shared" si="706"/>
        <v>#N/A</v>
      </c>
      <c r="W679" s="4"/>
      <c r="X679" s="4"/>
      <c r="AD679" s="4"/>
      <c r="AE679" s="4"/>
    </row>
    <row r="680" s="2" customFormat="1" spans="1:31">
      <c r="A680" s="4">
        <v>678</v>
      </c>
      <c r="B680" s="5" t="s">
        <v>1327</v>
      </c>
      <c r="C680" s="4" t="s">
        <v>1195</v>
      </c>
      <c r="D680" s="24" t="s">
        <v>63</v>
      </c>
      <c r="E680" s="4">
        <v>84</v>
      </c>
      <c r="F680" s="5">
        <v>1</v>
      </c>
      <c r="G680" s="5">
        <v>1</v>
      </c>
      <c r="H680" s="6">
        <f t="shared" si="700"/>
        <v>1</v>
      </c>
      <c r="I680" s="4">
        <f t="shared" si="701"/>
        <v>15053</v>
      </c>
      <c r="J680" s="22">
        <f>ROUND(VLOOKUP(D680,[1]物品容器!$T$3:$U$8,2,FALSE)*M680,0)*0.5</f>
        <v>15052.5</v>
      </c>
      <c r="K680" s="18">
        <f t="shared" si="702"/>
        <v>15053</v>
      </c>
      <c r="L680" s="18">
        <f t="shared" ref="L680:O680" si="743">ROUND($I680*L$2,0)</f>
        <v>9032</v>
      </c>
      <c r="M680" s="7">
        <v>1.0035</v>
      </c>
      <c r="N680" s="18">
        <f t="shared" si="743"/>
        <v>2258</v>
      </c>
      <c r="O680" s="18">
        <f t="shared" si="743"/>
        <v>225795</v>
      </c>
      <c r="P680" s="18">
        <f t="shared" si="704"/>
        <v>135.48</v>
      </c>
      <c r="Q680" s="18">
        <f t="shared" si="705"/>
        <v>750</v>
      </c>
      <c r="R680" s="42" t="s">
        <v>1327</v>
      </c>
      <c r="S680" s="4" t="e">
        <f t="shared" si="706"/>
        <v>#N/A</v>
      </c>
      <c r="W680" s="4"/>
      <c r="X680" s="4"/>
      <c r="AD680" s="4"/>
      <c r="AE680" s="4"/>
    </row>
    <row r="681" s="2" customFormat="1" spans="1:31">
      <c r="A681" s="4">
        <v>679</v>
      </c>
      <c r="B681" s="5" t="s">
        <v>1328</v>
      </c>
      <c r="C681" s="4" t="s">
        <v>1195</v>
      </c>
      <c r="D681" s="24" t="s">
        <v>63</v>
      </c>
      <c r="E681" s="4">
        <v>85</v>
      </c>
      <c r="F681" s="5">
        <v>1</v>
      </c>
      <c r="G681" s="5">
        <v>1</v>
      </c>
      <c r="H681" s="6">
        <f t="shared" si="700"/>
        <v>1</v>
      </c>
      <c r="I681" s="4">
        <f t="shared" si="701"/>
        <v>14855</v>
      </c>
      <c r="J681" s="22">
        <f>ROUND(VLOOKUP(D681,[1]物品容器!$T$3:$U$8,2,FALSE)*M681,0)*0.5</f>
        <v>14854.5</v>
      </c>
      <c r="K681" s="18">
        <f t="shared" si="702"/>
        <v>14855</v>
      </c>
      <c r="L681" s="18">
        <f t="shared" ref="L681:O681" si="744">ROUND($I681*L$2,0)</f>
        <v>8913</v>
      </c>
      <c r="M681" s="7">
        <v>0.9903</v>
      </c>
      <c r="N681" s="18">
        <f t="shared" si="744"/>
        <v>2228</v>
      </c>
      <c r="O681" s="18">
        <f t="shared" si="744"/>
        <v>222825</v>
      </c>
      <c r="P681" s="18">
        <f t="shared" si="704"/>
        <v>133.695</v>
      </c>
      <c r="Q681" s="18">
        <f t="shared" si="705"/>
        <v>740</v>
      </c>
      <c r="R681" s="42" t="s">
        <v>1328</v>
      </c>
      <c r="S681" s="4" t="e">
        <f t="shared" si="706"/>
        <v>#N/A</v>
      </c>
      <c r="W681" s="4"/>
      <c r="X681" s="4"/>
      <c r="AD681" s="4"/>
      <c r="AE681" s="4"/>
    </row>
    <row r="682" s="2" customFormat="1" spans="1:31">
      <c r="A682" s="4">
        <v>680</v>
      </c>
      <c r="B682" s="5" t="s">
        <v>1329</v>
      </c>
      <c r="C682" s="4" t="s">
        <v>1195</v>
      </c>
      <c r="D682" s="24" t="s">
        <v>63</v>
      </c>
      <c r="E682" s="4">
        <v>86</v>
      </c>
      <c r="F682" s="5">
        <v>1</v>
      </c>
      <c r="G682" s="5">
        <v>1</v>
      </c>
      <c r="H682" s="6">
        <f t="shared" si="700"/>
        <v>1</v>
      </c>
      <c r="I682" s="4">
        <f t="shared" si="701"/>
        <v>14958</v>
      </c>
      <c r="J682" s="22">
        <f>ROUND(VLOOKUP(D682,[1]物品容器!$T$3:$U$8,2,FALSE)*M682,0)*0.5</f>
        <v>14958</v>
      </c>
      <c r="K682" s="18">
        <f t="shared" si="702"/>
        <v>14958</v>
      </c>
      <c r="L682" s="18">
        <f t="shared" ref="L682:O682" si="745">ROUND($I682*L$2,0)</f>
        <v>8975</v>
      </c>
      <c r="M682" s="7">
        <v>0.9972</v>
      </c>
      <c r="N682" s="18">
        <f t="shared" si="745"/>
        <v>2244</v>
      </c>
      <c r="O682" s="18">
        <f t="shared" si="745"/>
        <v>224370</v>
      </c>
      <c r="P682" s="18">
        <f t="shared" si="704"/>
        <v>134.625</v>
      </c>
      <c r="Q682" s="18">
        <f t="shared" si="705"/>
        <v>745</v>
      </c>
      <c r="R682" s="42" t="s">
        <v>1329</v>
      </c>
      <c r="S682" s="4" t="e">
        <f t="shared" si="706"/>
        <v>#N/A</v>
      </c>
      <c r="W682" s="4"/>
      <c r="X682" s="4"/>
      <c r="AD682" s="4"/>
      <c r="AE682" s="4"/>
    </row>
    <row r="683" s="2" customFormat="1" spans="1:31">
      <c r="A683" s="4">
        <v>681</v>
      </c>
      <c r="B683" s="5" t="s">
        <v>1330</v>
      </c>
      <c r="C683" s="4" t="s">
        <v>1195</v>
      </c>
      <c r="D683" s="24" t="s">
        <v>63</v>
      </c>
      <c r="E683" s="4">
        <v>87</v>
      </c>
      <c r="F683" s="5">
        <v>1</v>
      </c>
      <c r="G683" s="5">
        <v>1</v>
      </c>
      <c r="H683" s="6">
        <f t="shared" si="700"/>
        <v>1</v>
      </c>
      <c r="I683" s="4">
        <f t="shared" si="701"/>
        <v>15008</v>
      </c>
      <c r="J683" s="22">
        <f>ROUND(VLOOKUP(D683,[1]物品容器!$T$3:$U$8,2,FALSE)*M683,0)*0.5</f>
        <v>15007.5</v>
      </c>
      <c r="K683" s="18">
        <f t="shared" si="702"/>
        <v>15008</v>
      </c>
      <c r="L683" s="18">
        <f t="shared" ref="L683:O683" si="746">ROUND($I683*L$2,0)</f>
        <v>9005</v>
      </c>
      <c r="M683" s="7">
        <v>1.0005</v>
      </c>
      <c r="N683" s="18">
        <f t="shared" si="746"/>
        <v>2251</v>
      </c>
      <c r="O683" s="18">
        <f t="shared" si="746"/>
        <v>225120</v>
      </c>
      <c r="P683" s="18">
        <f t="shared" si="704"/>
        <v>135.075</v>
      </c>
      <c r="Q683" s="18">
        <f t="shared" si="705"/>
        <v>748</v>
      </c>
      <c r="R683" s="42" t="s">
        <v>1330</v>
      </c>
      <c r="S683" s="4" t="e">
        <f t="shared" si="706"/>
        <v>#N/A</v>
      </c>
      <c r="W683" s="4"/>
      <c r="X683" s="4"/>
      <c r="AD683" s="4"/>
      <c r="AE683" s="4"/>
    </row>
    <row r="684" s="2" customFormat="1" spans="1:31">
      <c r="A684" s="4">
        <v>682</v>
      </c>
      <c r="B684" s="5" t="s">
        <v>1331</v>
      </c>
      <c r="C684" s="4" t="s">
        <v>1195</v>
      </c>
      <c r="D684" s="24" t="s">
        <v>63</v>
      </c>
      <c r="E684" s="4">
        <v>88</v>
      </c>
      <c r="F684" s="5">
        <v>1</v>
      </c>
      <c r="G684" s="5">
        <v>1</v>
      </c>
      <c r="H684" s="6">
        <f t="shared" si="700"/>
        <v>1</v>
      </c>
      <c r="I684" s="4">
        <f t="shared" si="701"/>
        <v>15057</v>
      </c>
      <c r="J684" s="22">
        <f>ROUND(VLOOKUP(D684,[1]物品容器!$T$3:$U$8,2,FALSE)*M684,0)*0.5</f>
        <v>15057</v>
      </c>
      <c r="K684" s="18">
        <f t="shared" si="702"/>
        <v>15057</v>
      </c>
      <c r="L684" s="18">
        <f t="shared" ref="L684:O684" si="747">ROUND($I684*L$2,0)</f>
        <v>9034</v>
      </c>
      <c r="M684" s="7">
        <v>1.0038</v>
      </c>
      <c r="N684" s="18">
        <f t="shared" si="747"/>
        <v>2259</v>
      </c>
      <c r="O684" s="18">
        <f t="shared" si="747"/>
        <v>225855</v>
      </c>
      <c r="P684" s="18">
        <f t="shared" si="704"/>
        <v>135.51</v>
      </c>
      <c r="Q684" s="18">
        <f t="shared" si="705"/>
        <v>750</v>
      </c>
      <c r="R684" s="42" t="s">
        <v>1331</v>
      </c>
      <c r="S684" s="4" t="e">
        <f t="shared" si="706"/>
        <v>#N/A</v>
      </c>
      <c r="W684" s="4"/>
      <c r="X684" s="4"/>
      <c r="AD684" s="4"/>
      <c r="AE684" s="4"/>
    </row>
    <row r="685" s="2" customFormat="1" spans="1:31">
      <c r="A685" s="4">
        <v>683</v>
      </c>
      <c r="B685" s="5" t="s">
        <v>1332</v>
      </c>
      <c r="C685" s="4" t="s">
        <v>1195</v>
      </c>
      <c r="D685" s="24" t="s">
        <v>63</v>
      </c>
      <c r="E685" s="4">
        <v>89</v>
      </c>
      <c r="F685" s="5">
        <v>1</v>
      </c>
      <c r="G685" s="5">
        <v>1</v>
      </c>
      <c r="H685" s="6">
        <f t="shared" si="700"/>
        <v>1</v>
      </c>
      <c r="I685" s="4">
        <f t="shared" si="701"/>
        <v>15125</v>
      </c>
      <c r="J685" s="22">
        <f>ROUND(VLOOKUP(D685,[1]物品容器!$T$3:$U$8,2,FALSE)*M685,0)*0.5</f>
        <v>15124.5</v>
      </c>
      <c r="K685" s="18">
        <f t="shared" si="702"/>
        <v>15125</v>
      </c>
      <c r="L685" s="18">
        <f t="shared" ref="L685:O685" si="748">ROUND($I685*L$2,0)</f>
        <v>9075</v>
      </c>
      <c r="M685" s="7">
        <v>1.0083</v>
      </c>
      <c r="N685" s="18">
        <f t="shared" si="748"/>
        <v>2269</v>
      </c>
      <c r="O685" s="18">
        <f t="shared" si="748"/>
        <v>226875</v>
      </c>
      <c r="P685" s="18">
        <f t="shared" si="704"/>
        <v>136.125</v>
      </c>
      <c r="Q685" s="18">
        <f t="shared" si="705"/>
        <v>754</v>
      </c>
      <c r="R685" s="42" t="s">
        <v>1332</v>
      </c>
      <c r="S685" s="4" t="e">
        <f t="shared" si="706"/>
        <v>#N/A</v>
      </c>
      <c r="W685" s="4"/>
      <c r="X685" s="4"/>
      <c r="AD685" s="4"/>
      <c r="AE685" s="4"/>
    </row>
    <row r="686" s="2" customFormat="1" spans="1:31">
      <c r="A686" s="4">
        <v>684</v>
      </c>
      <c r="B686" s="5" t="s">
        <v>1333</v>
      </c>
      <c r="C686" s="4" t="s">
        <v>1195</v>
      </c>
      <c r="D686" s="24" t="s">
        <v>63</v>
      </c>
      <c r="E686" s="4">
        <v>90</v>
      </c>
      <c r="F686" s="5">
        <v>1</v>
      </c>
      <c r="G686" s="5">
        <v>1</v>
      </c>
      <c r="H686" s="6">
        <f t="shared" si="700"/>
        <v>1</v>
      </c>
      <c r="I686" s="4">
        <f t="shared" si="701"/>
        <v>15138</v>
      </c>
      <c r="J686" s="22">
        <f>ROUND(VLOOKUP(D686,[1]物品容器!$T$3:$U$8,2,FALSE)*M686,0)*0.5</f>
        <v>15138</v>
      </c>
      <c r="K686" s="18">
        <f t="shared" si="702"/>
        <v>15138</v>
      </c>
      <c r="L686" s="18">
        <f t="shared" ref="L686:O686" si="749">ROUND($I686*L$2,0)</f>
        <v>9083</v>
      </c>
      <c r="M686" s="7">
        <v>1.0092</v>
      </c>
      <c r="N686" s="18">
        <f t="shared" si="749"/>
        <v>2271</v>
      </c>
      <c r="O686" s="18">
        <f t="shared" si="749"/>
        <v>227070</v>
      </c>
      <c r="P686" s="18">
        <f t="shared" si="704"/>
        <v>136.245</v>
      </c>
      <c r="Q686" s="18">
        <f t="shared" si="705"/>
        <v>754</v>
      </c>
      <c r="R686" s="42" t="s">
        <v>1333</v>
      </c>
      <c r="S686" s="4" t="e">
        <f t="shared" si="706"/>
        <v>#N/A</v>
      </c>
      <c r="W686" s="4"/>
      <c r="X686" s="4"/>
      <c r="AD686" s="4"/>
      <c r="AE686" s="4"/>
    </row>
    <row r="687" s="2" customFormat="1" spans="1:31">
      <c r="A687" s="4">
        <v>685</v>
      </c>
      <c r="B687" s="5" t="s">
        <v>1334</v>
      </c>
      <c r="C687" s="4" t="s">
        <v>1195</v>
      </c>
      <c r="D687" s="24" t="s">
        <v>63</v>
      </c>
      <c r="E687" s="4">
        <v>91</v>
      </c>
      <c r="F687" s="5">
        <v>1</v>
      </c>
      <c r="G687" s="5">
        <v>1</v>
      </c>
      <c r="H687" s="6">
        <f t="shared" si="700"/>
        <v>1</v>
      </c>
      <c r="I687" s="4">
        <f t="shared" si="701"/>
        <v>15032</v>
      </c>
      <c r="J687" s="22">
        <f>ROUND(VLOOKUP(D687,[1]物品容器!$T$3:$U$8,2,FALSE)*M687,0)*0.5</f>
        <v>15031.5</v>
      </c>
      <c r="K687" s="18">
        <f t="shared" si="702"/>
        <v>15032</v>
      </c>
      <c r="L687" s="18">
        <f t="shared" ref="L687:O687" si="750">ROUND($I687*L$2,0)</f>
        <v>9019</v>
      </c>
      <c r="M687" s="7">
        <v>1.0021</v>
      </c>
      <c r="N687" s="18">
        <f t="shared" si="750"/>
        <v>2255</v>
      </c>
      <c r="O687" s="18">
        <f t="shared" si="750"/>
        <v>225480</v>
      </c>
      <c r="P687" s="18">
        <f t="shared" si="704"/>
        <v>135.285</v>
      </c>
      <c r="Q687" s="18">
        <f t="shared" si="705"/>
        <v>749</v>
      </c>
      <c r="R687" s="42" t="s">
        <v>1334</v>
      </c>
      <c r="S687" s="4" t="e">
        <f t="shared" si="706"/>
        <v>#N/A</v>
      </c>
      <c r="W687" s="4"/>
      <c r="X687" s="4"/>
      <c r="AD687" s="4"/>
      <c r="AE687" s="4"/>
    </row>
    <row r="688" s="2" customFormat="1" spans="1:31">
      <c r="A688" s="4">
        <v>686</v>
      </c>
      <c r="B688" s="5" t="s">
        <v>1335</v>
      </c>
      <c r="C688" s="4" t="s">
        <v>1195</v>
      </c>
      <c r="D688" s="24" t="s">
        <v>63</v>
      </c>
      <c r="E688" s="4">
        <v>92</v>
      </c>
      <c r="F688" s="5">
        <v>1</v>
      </c>
      <c r="G688" s="5">
        <v>1</v>
      </c>
      <c r="H688" s="6">
        <f t="shared" si="700"/>
        <v>1</v>
      </c>
      <c r="I688" s="4">
        <f t="shared" si="701"/>
        <v>15123</v>
      </c>
      <c r="J688" s="22">
        <f>ROUND(VLOOKUP(D688,[1]物品容器!$T$3:$U$8,2,FALSE)*M688,0)*0.5</f>
        <v>15123</v>
      </c>
      <c r="K688" s="18">
        <f t="shared" si="702"/>
        <v>15123</v>
      </c>
      <c r="L688" s="18">
        <f t="shared" ref="L688:O688" si="751">ROUND($I688*L$2,0)</f>
        <v>9074</v>
      </c>
      <c r="M688" s="7">
        <v>1.0082</v>
      </c>
      <c r="N688" s="18">
        <f t="shared" si="751"/>
        <v>2268</v>
      </c>
      <c r="O688" s="18">
        <f t="shared" si="751"/>
        <v>226845</v>
      </c>
      <c r="P688" s="18">
        <f t="shared" si="704"/>
        <v>136.11</v>
      </c>
      <c r="Q688" s="18">
        <f t="shared" si="705"/>
        <v>754</v>
      </c>
      <c r="R688" s="42" t="s">
        <v>1335</v>
      </c>
      <c r="S688" s="4" t="e">
        <f t="shared" si="706"/>
        <v>#N/A</v>
      </c>
      <c r="W688" s="4"/>
      <c r="X688" s="4"/>
      <c r="AD688" s="4"/>
      <c r="AE688" s="4"/>
    </row>
    <row r="689" s="2" customFormat="1" spans="1:31">
      <c r="A689" s="4">
        <v>687</v>
      </c>
      <c r="B689" s="5" t="s">
        <v>1336</v>
      </c>
      <c r="C689" s="4" t="s">
        <v>1195</v>
      </c>
      <c r="D689" s="24" t="s">
        <v>63</v>
      </c>
      <c r="E689" s="4">
        <v>93</v>
      </c>
      <c r="F689" s="5">
        <v>1</v>
      </c>
      <c r="G689" s="5">
        <v>1</v>
      </c>
      <c r="H689" s="6">
        <f t="shared" si="700"/>
        <v>1</v>
      </c>
      <c r="I689" s="4">
        <f t="shared" si="701"/>
        <v>15149</v>
      </c>
      <c r="J689" s="22">
        <f>ROUND(VLOOKUP(D689,[1]物品容器!$T$3:$U$8,2,FALSE)*M689,0)*0.5</f>
        <v>15148.5</v>
      </c>
      <c r="K689" s="18">
        <f t="shared" si="702"/>
        <v>15149</v>
      </c>
      <c r="L689" s="18">
        <f t="shared" ref="L689:O689" si="752">ROUND($I689*L$2,0)</f>
        <v>9089</v>
      </c>
      <c r="M689" s="7">
        <v>1.0099</v>
      </c>
      <c r="N689" s="18">
        <f t="shared" si="752"/>
        <v>2272</v>
      </c>
      <c r="O689" s="18">
        <f t="shared" si="752"/>
        <v>227235</v>
      </c>
      <c r="P689" s="18">
        <f t="shared" si="704"/>
        <v>136.335</v>
      </c>
      <c r="Q689" s="18">
        <f t="shared" si="705"/>
        <v>755</v>
      </c>
      <c r="R689" s="42" t="s">
        <v>1336</v>
      </c>
      <c r="S689" s="4" t="e">
        <f t="shared" si="706"/>
        <v>#N/A</v>
      </c>
      <c r="W689" s="4"/>
      <c r="X689" s="4"/>
      <c r="AD689" s="4"/>
      <c r="AE689" s="4"/>
    </row>
    <row r="690" s="2" customFormat="1" spans="1:31">
      <c r="A690" s="4">
        <v>688</v>
      </c>
      <c r="B690" s="5" t="s">
        <v>1337</v>
      </c>
      <c r="C690" s="4" t="s">
        <v>1195</v>
      </c>
      <c r="D690" s="24" t="s">
        <v>63</v>
      </c>
      <c r="E690" s="4">
        <v>94</v>
      </c>
      <c r="F690" s="5">
        <v>1</v>
      </c>
      <c r="G690" s="5">
        <v>1</v>
      </c>
      <c r="H690" s="6">
        <f t="shared" si="700"/>
        <v>1</v>
      </c>
      <c r="I690" s="4">
        <f t="shared" si="701"/>
        <v>14880</v>
      </c>
      <c r="J690" s="22">
        <f>ROUND(VLOOKUP(D690,[1]物品容器!$T$3:$U$8,2,FALSE)*M690,0)*0.5</f>
        <v>14880</v>
      </c>
      <c r="K690" s="18">
        <f t="shared" si="702"/>
        <v>14880</v>
      </c>
      <c r="L690" s="18">
        <f t="shared" ref="L690:O690" si="753">ROUND($I690*L$2,0)</f>
        <v>8928</v>
      </c>
      <c r="M690" s="7">
        <v>0.992</v>
      </c>
      <c r="N690" s="18">
        <f t="shared" si="753"/>
        <v>2232</v>
      </c>
      <c r="O690" s="18">
        <f t="shared" si="753"/>
        <v>223200</v>
      </c>
      <c r="P690" s="18">
        <f t="shared" si="704"/>
        <v>133.92</v>
      </c>
      <c r="Q690" s="18">
        <f t="shared" si="705"/>
        <v>741</v>
      </c>
      <c r="R690" s="42" t="s">
        <v>1337</v>
      </c>
      <c r="S690" s="4" t="e">
        <f t="shared" si="706"/>
        <v>#N/A</v>
      </c>
      <c r="W690" s="4"/>
      <c r="X690" s="4"/>
      <c r="AD690" s="4"/>
      <c r="AE690" s="4"/>
    </row>
    <row r="691" s="2" customFormat="1" spans="1:31">
      <c r="A691" s="4">
        <v>689</v>
      </c>
      <c r="B691" s="5" t="s">
        <v>1338</v>
      </c>
      <c r="C691" s="4" t="s">
        <v>1195</v>
      </c>
      <c r="D691" s="24" t="s">
        <v>63</v>
      </c>
      <c r="E691" s="4">
        <v>95</v>
      </c>
      <c r="F691" s="5">
        <v>1</v>
      </c>
      <c r="G691" s="5">
        <v>1</v>
      </c>
      <c r="H691" s="6">
        <f t="shared" si="700"/>
        <v>1</v>
      </c>
      <c r="I691" s="4">
        <f t="shared" si="701"/>
        <v>14952</v>
      </c>
      <c r="J691" s="22">
        <f>ROUND(VLOOKUP(D691,[1]物品容器!$T$3:$U$8,2,FALSE)*M691,0)*0.5</f>
        <v>14952</v>
      </c>
      <c r="K691" s="18">
        <f t="shared" si="702"/>
        <v>14952</v>
      </c>
      <c r="L691" s="18">
        <f t="shared" ref="L691:O691" si="754">ROUND($I691*L$2,0)</f>
        <v>8971</v>
      </c>
      <c r="M691" s="7">
        <v>0.9968</v>
      </c>
      <c r="N691" s="18">
        <f t="shared" si="754"/>
        <v>2243</v>
      </c>
      <c r="O691" s="18">
        <f t="shared" si="754"/>
        <v>224280</v>
      </c>
      <c r="P691" s="18">
        <f t="shared" si="704"/>
        <v>134.565</v>
      </c>
      <c r="Q691" s="18">
        <f t="shared" si="705"/>
        <v>745</v>
      </c>
      <c r="R691" s="42" t="s">
        <v>1338</v>
      </c>
      <c r="S691" s="4" t="e">
        <f t="shared" si="706"/>
        <v>#N/A</v>
      </c>
      <c r="W691" s="4"/>
      <c r="X691" s="4"/>
      <c r="AD691" s="4"/>
      <c r="AE691" s="4"/>
    </row>
    <row r="692" s="2" customFormat="1" spans="1:31">
      <c r="A692" s="4">
        <v>690</v>
      </c>
      <c r="B692" s="5" t="s">
        <v>1339</v>
      </c>
      <c r="C692" s="4" t="s">
        <v>1195</v>
      </c>
      <c r="D692" s="24" t="s">
        <v>63</v>
      </c>
      <c r="E692" s="4">
        <v>96</v>
      </c>
      <c r="F692" s="5">
        <v>1</v>
      </c>
      <c r="G692" s="5">
        <v>1</v>
      </c>
      <c r="H692" s="6">
        <f t="shared" si="700"/>
        <v>1</v>
      </c>
      <c r="I692" s="4">
        <f t="shared" si="701"/>
        <v>15000</v>
      </c>
      <c r="J692" s="22">
        <f>ROUND(VLOOKUP(D692,[1]物品容器!$T$3:$U$8,2,FALSE)*M692,0)*0.5</f>
        <v>15000</v>
      </c>
      <c r="K692" s="18">
        <f t="shared" si="702"/>
        <v>15000</v>
      </c>
      <c r="L692" s="18">
        <f t="shared" ref="L692:O692" si="755">ROUND($I692*L$2,0)</f>
        <v>9000</v>
      </c>
      <c r="M692" s="7">
        <v>1</v>
      </c>
      <c r="N692" s="18">
        <f t="shared" si="755"/>
        <v>2250</v>
      </c>
      <c r="O692" s="18">
        <f t="shared" si="755"/>
        <v>225000</v>
      </c>
      <c r="P692" s="18">
        <f t="shared" si="704"/>
        <v>135</v>
      </c>
      <c r="Q692" s="18">
        <f t="shared" si="705"/>
        <v>747</v>
      </c>
      <c r="R692" s="42" t="s">
        <v>1339</v>
      </c>
      <c r="S692" s="4" t="e">
        <f t="shared" si="706"/>
        <v>#N/A</v>
      </c>
      <c r="W692" s="4"/>
      <c r="X692" s="4"/>
      <c r="AD692" s="4"/>
      <c r="AE692" s="4"/>
    </row>
    <row r="693" s="2" customFormat="1" spans="1:31">
      <c r="A693" s="4">
        <v>691</v>
      </c>
      <c r="B693" s="5" t="s">
        <v>1340</v>
      </c>
      <c r="C693" s="4" t="s">
        <v>1195</v>
      </c>
      <c r="D693" s="25" t="s">
        <v>76</v>
      </c>
      <c r="E693" s="4">
        <v>97</v>
      </c>
      <c r="F693" s="5">
        <v>1</v>
      </c>
      <c r="G693" s="5">
        <v>1</v>
      </c>
      <c r="H693" s="6">
        <f t="shared" si="700"/>
        <v>1</v>
      </c>
      <c r="I693" s="4">
        <f t="shared" si="701"/>
        <v>4965</v>
      </c>
      <c r="J693" s="22">
        <f>ROUND(VLOOKUP(D693,[1]物品容器!$T$3:$U$8,2,FALSE)*M693,0)*0.5</f>
        <v>4964.5</v>
      </c>
      <c r="K693" s="18">
        <f t="shared" si="702"/>
        <v>4965</v>
      </c>
      <c r="L693" s="18">
        <f t="shared" ref="L693:O693" si="756">ROUND($I693*L$2,0)</f>
        <v>2979</v>
      </c>
      <c r="M693" s="7">
        <v>0.9929</v>
      </c>
      <c r="N693" s="18">
        <f t="shared" si="756"/>
        <v>745</v>
      </c>
      <c r="O693" s="18">
        <f t="shared" si="756"/>
        <v>74475</v>
      </c>
      <c r="P693" s="18">
        <f t="shared" si="704"/>
        <v>44.685</v>
      </c>
      <c r="Q693" s="18">
        <f t="shared" si="705"/>
        <v>247</v>
      </c>
      <c r="R693" s="42" t="s">
        <v>1340</v>
      </c>
      <c r="S693" s="4" t="e">
        <f t="shared" si="706"/>
        <v>#N/A</v>
      </c>
      <c r="W693" s="4"/>
      <c r="X693" s="4"/>
      <c r="AD693" s="4"/>
      <c r="AE693" s="4"/>
    </row>
    <row r="694" s="2" customFormat="1" spans="1:31">
      <c r="A694" s="4">
        <v>692</v>
      </c>
      <c r="B694" s="5" t="s">
        <v>1341</v>
      </c>
      <c r="C694" s="4" t="s">
        <v>1195</v>
      </c>
      <c r="D694" s="25" t="s">
        <v>76</v>
      </c>
      <c r="E694" s="4">
        <v>98</v>
      </c>
      <c r="F694" s="5">
        <v>1</v>
      </c>
      <c r="G694" s="5">
        <v>1</v>
      </c>
      <c r="H694" s="6">
        <f t="shared" si="700"/>
        <v>1</v>
      </c>
      <c r="I694" s="4">
        <f t="shared" si="701"/>
        <v>5001</v>
      </c>
      <c r="J694" s="22">
        <f>ROUND(VLOOKUP(D694,[1]物品容器!$T$3:$U$8,2,FALSE)*M694,0)*0.5</f>
        <v>5000.5</v>
      </c>
      <c r="K694" s="18">
        <f t="shared" si="702"/>
        <v>5001</v>
      </c>
      <c r="L694" s="18">
        <f t="shared" ref="L694:O694" si="757">ROUND($I694*L$2,0)</f>
        <v>3001</v>
      </c>
      <c r="M694" s="7">
        <v>1.0001</v>
      </c>
      <c r="N694" s="18">
        <f t="shared" si="757"/>
        <v>750</v>
      </c>
      <c r="O694" s="18">
        <f t="shared" si="757"/>
        <v>75015</v>
      </c>
      <c r="P694" s="18">
        <f t="shared" si="704"/>
        <v>45.015</v>
      </c>
      <c r="Q694" s="18">
        <f t="shared" si="705"/>
        <v>249</v>
      </c>
      <c r="R694" s="42" t="s">
        <v>1341</v>
      </c>
      <c r="S694" s="4" t="e">
        <f t="shared" si="706"/>
        <v>#N/A</v>
      </c>
      <c r="W694" s="4"/>
      <c r="X694" s="4"/>
      <c r="AD694" s="4"/>
      <c r="AE694" s="4"/>
    </row>
    <row r="695" s="2" customFormat="1" spans="1:31">
      <c r="A695" s="4">
        <v>693</v>
      </c>
      <c r="B695" s="5" t="s">
        <v>1342</v>
      </c>
      <c r="C695" s="4" t="s">
        <v>1195</v>
      </c>
      <c r="D695" s="25" t="s">
        <v>76</v>
      </c>
      <c r="E695" s="4">
        <v>99</v>
      </c>
      <c r="F695" s="5">
        <v>1</v>
      </c>
      <c r="G695" s="5">
        <v>1</v>
      </c>
      <c r="H695" s="6">
        <f t="shared" si="700"/>
        <v>1</v>
      </c>
      <c r="I695" s="4">
        <f t="shared" si="701"/>
        <v>5042</v>
      </c>
      <c r="J695" s="22">
        <f>ROUND(VLOOKUP(D695,[1]物品容器!$T$3:$U$8,2,FALSE)*M695,0)*0.5</f>
        <v>5041.5</v>
      </c>
      <c r="K695" s="18">
        <f t="shared" si="702"/>
        <v>5042</v>
      </c>
      <c r="L695" s="18">
        <f t="shared" ref="L695:O695" si="758">ROUND($I695*L$2,0)</f>
        <v>3025</v>
      </c>
      <c r="M695" s="7">
        <v>1.0083</v>
      </c>
      <c r="N695" s="18">
        <f t="shared" si="758"/>
        <v>756</v>
      </c>
      <c r="O695" s="18">
        <f t="shared" si="758"/>
        <v>75630</v>
      </c>
      <c r="P695" s="18">
        <f t="shared" si="704"/>
        <v>45.375</v>
      </c>
      <c r="Q695" s="18">
        <f t="shared" si="705"/>
        <v>251</v>
      </c>
      <c r="R695" s="42" t="s">
        <v>1342</v>
      </c>
      <c r="S695" s="4" t="e">
        <f t="shared" si="706"/>
        <v>#N/A</v>
      </c>
      <c r="W695" s="4"/>
      <c r="X695" s="4"/>
      <c r="AD695" s="4"/>
      <c r="AE695" s="4"/>
    </row>
    <row r="696" s="2" customFormat="1" spans="1:31">
      <c r="A696" s="4">
        <v>694</v>
      </c>
      <c r="B696" s="5" t="s">
        <v>1343</v>
      </c>
      <c r="C696" s="4" t="s">
        <v>1195</v>
      </c>
      <c r="D696" s="25" t="s">
        <v>76</v>
      </c>
      <c r="E696" s="4">
        <v>100</v>
      </c>
      <c r="F696" s="5">
        <v>1</v>
      </c>
      <c r="G696" s="5">
        <v>1</v>
      </c>
      <c r="H696" s="6">
        <f t="shared" si="700"/>
        <v>1</v>
      </c>
      <c r="I696" s="4">
        <f t="shared" si="701"/>
        <v>4992</v>
      </c>
      <c r="J696" s="22">
        <f>ROUND(VLOOKUP(D696,[1]物品容器!$T$3:$U$8,2,FALSE)*M696,0)*0.5</f>
        <v>4991.5</v>
      </c>
      <c r="K696" s="18">
        <f t="shared" si="702"/>
        <v>4992</v>
      </c>
      <c r="L696" s="18">
        <f t="shared" ref="L696:O696" si="759">ROUND($I696*L$2,0)</f>
        <v>2995</v>
      </c>
      <c r="M696" s="7">
        <v>0.9983</v>
      </c>
      <c r="N696" s="18">
        <f t="shared" si="759"/>
        <v>749</v>
      </c>
      <c r="O696" s="18">
        <f t="shared" si="759"/>
        <v>74880</v>
      </c>
      <c r="P696" s="18">
        <f t="shared" si="704"/>
        <v>44.925</v>
      </c>
      <c r="Q696" s="18">
        <f t="shared" si="705"/>
        <v>249</v>
      </c>
      <c r="R696" s="42" t="s">
        <v>1343</v>
      </c>
      <c r="S696" s="4" t="e">
        <f t="shared" si="706"/>
        <v>#N/A</v>
      </c>
      <c r="W696" s="4"/>
      <c r="X696" s="4"/>
      <c r="AD696" s="4"/>
      <c r="AE696" s="4"/>
    </row>
    <row r="697" s="2" customFormat="1" spans="1:31">
      <c r="A697" s="4">
        <v>695</v>
      </c>
      <c r="B697" s="5" t="s">
        <v>1344</v>
      </c>
      <c r="C697" s="4" t="s">
        <v>1195</v>
      </c>
      <c r="D697" s="25" t="s">
        <v>76</v>
      </c>
      <c r="E697" s="4">
        <v>101</v>
      </c>
      <c r="F697" s="5">
        <v>1</v>
      </c>
      <c r="G697" s="5">
        <v>1</v>
      </c>
      <c r="H697" s="6">
        <f t="shared" si="700"/>
        <v>1</v>
      </c>
      <c r="I697" s="4">
        <f t="shared" si="701"/>
        <v>5022</v>
      </c>
      <c r="J697" s="22">
        <f>ROUND(VLOOKUP(D697,[1]物品容器!$T$3:$U$8,2,FALSE)*M697,0)*0.5</f>
        <v>5022</v>
      </c>
      <c r="K697" s="18">
        <f t="shared" si="702"/>
        <v>5022</v>
      </c>
      <c r="L697" s="18">
        <f t="shared" ref="L697:O697" si="760">ROUND($I697*L$2,0)</f>
        <v>3013</v>
      </c>
      <c r="M697" s="7">
        <v>1.0044</v>
      </c>
      <c r="N697" s="18">
        <f t="shared" si="760"/>
        <v>753</v>
      </c>
      <c r="O697" s="18">
        <f t="shared" si="760"/>
        <v>75330</v>
      </c>
      <c r="P697" s="18">
        <f t="shared" si="704"/>
        <v>45.195</v>
      </c>
      <c r="Q697" s="18">
        <f t="shared" si="705"/>
        <v>250</v>
      </c>
      <c r="R697" s="42" t="s">
        <v>1344</v>
      </c>
      <c r="S697" s="4" t="e">
        <f t="shared" si="706"/>
        <v>#N/A</v>
      </c>
      <c r="W697" s="4"/>
      <c r="X697" s="4"/>
      <c r="AD697" s="4"/>
      <c r="AE697" s="4"/>
    </row>
    <row r="698" s="2" customFormat="1" spans="1:31">
      <c r="A698" s="4">
        <v>696</v>
      </c>
      <c r="B698" s="5" t="s">
        <v>1345</v>
      </c>
      <c r="C698" s="4" t="s">
        <v>1195</v>
      </c>
      <c r="D698" s="25" t="s">
        <v>76</v>
      </c>
      <c r="E698" s="4">
        <v>102</v>
      </c>
      <c r="F698" s="5">
        <v>1</v>
      </c>
      <c r="G698" s="5">
        <v>1</v>
      </c>
      <c r="H698" s="6">
        <f t="shared" si="700"/>
        <v>1</v>
      </c>
      <c r="I698" s="4">
        <f t="shared" si="701"/>
        <v>5014</v>
      </c>
      <c r="J698" s="22">
        <f>ROUND(VLOOKUP(D698,[1]物品容器!$T$3:$U$8,2,FALSE)*M698,0)*0.5</f>
        <v>5013.5</v>
      </c>
      <c r="K698" s="18">
        <f t="shared" si="702"/>
        <v>5014</v>
      </c>
      <c r="L698" s="18">
        <f t="shared" ref="L698:O698" si="761">ROUND($I698*L$2,0)</f>
        <v>3008</v>
      </c>
      <c r="M698" s="7">
        <v>1.0027</v>
      </c>
      <c r="N698" s="18">
        <f t="shared" si="761"/>
        <v>752</v>
      </c>
      <c r="O698" s="18">
        <f t="shared" si="761"/>
        <v>75210</v>
      </c>
      <c r="P698" s="18">
        <f t="shared" si="704"/>
        <v>45.12</v>
      </c>
      <c r="Q698" s="18">
        <f t="shared" si="705"/>
        <v>250</v>
      </c>
      <c r="R698" s="42" t="s">
        <v>1345</v>
      </c>
      <c r="S698" s="4" t="e">
        <f t="shared" si="706"/>
        <v>#N/A</v>
      </c>
      <c r="W698" s="4"/>
      <c r="X698" s="4"/>
      <c r="AD698" s="4"/>
      <c r="AE698" s="4"/>
    </row>
    <row r="699" s="2" customFormat="1" spans="1:31">
      <c r="A699" s="4">
        <v>697</v>
      </c>
      <c r="B699" s="5" t="s">
        <v>1346</v>
      </c>
      <c r="C699" s="4" t="s">
        <v>1195</v>
      </c>
      <c r="D699" s="25" t="s">
        <v>76</v>
      </c>
      <c r="E699" s="4">
        <v>103</v>
      </c>
      <c r="F699" s="5">
        <v>1</v>
      </c>
      <c r="G699" s="5">
        <v>1</v>
      </c>
      <c r="H699" s="6">
        <f t="shared" si="700"/>
        <v>1</v>
      </c>
      <c r="I699" s="4">
        <f t="shared" si="701"/>
        <v>5027</v>
      </c>
      <c r="J699" s="22">
        <f>ROUND(VLOOKUP(D699,[1]物品容器!$T$3:$U$8,2,FALSE)*M699,0)*0.5</f>
        <v>5026.5</v>
      </c>
      <c r="K699" s="18">
        <f t="shared" si="702"/>
        <v>5027</v>
      </c>
      <c r="L699" s="18">
        <f t="shared" ref="L699:O699" si="762">ROUND($I699*L$2,0)</f>
        <v>3016</v>
      </c>
      <c r="M699" s="7">
        <v>1.0053</v>
      </c>
      <c r="N699" s="18">
        <f t="shared" si="762"/>
        <v>754</v>
      </c>
      <c r="O699" s="18">
        <f t="shared" si="762"/>
        <v>75405</v>
      </c>
      <c r="P699" s="18">
        <f t="shared" si="704"/>
        <v>45.24</v>
      </c>
      <c r="Q699" s="18">
        <f t="shared" si="705"/>
        <v>250</v>
      </c>
      <c r="R699" s="42" t="s">
        <v>1346</v>
      </c>
      <c r="S699" s="4" t="e">
        <f t="shared" si="706"/>
        <v>#N/A</v>
      </c>
      <c r="W699" s="4"/>
      <c r="X699" s="4"/>
      <c r="AD699" s="4"/>
      <c r="AE699" s="4"/>
    </row>
    <row r="700" s="2" customFormat="1" spans="1:31">
      <c r="A700" s="4">
        <v>698</v>
      </c>
      <c r="B700" s="5" t="s">
        <v>1347</v>
      </c>
      <c r="C700" s="4" t="s">
        <v>1195</v>
      </c>
      <c r="D700" s="25" t="s">
        <v>76</v>
      </c>
      <c r="E700" s="4">
        <v>104</v>
      </c>
      <c r="F700" s="5">
        <v>1</v>
      </c>
      <c r="G700" s="5">
        <v>1</v>
      </c>
      <c r="H700" s="6">
        <f t="shared" si="700"/>
        <v>1</v>
      </c>
      <c r="I700" s="4">
        <f t="shared" si="701"/>
        <v>4974</v>
      </c>
      <c r="J700" s="22">
        <f>ROUND(VLOOKUP(D700,[1]物品容器!$T$3:$U$8,2,FALSE)*M700,0)*0.5</f>
        <v>4973.5</v>
      </c>
      <c r="K700" s="18">
        <f t="shared" si="702"/>
        <v>4974</v>
      </c>
      <c r="L700" s="18">
        <f t="shared" ref="L700:O700" si="763">ROUND($I700*L$2,0)</f>
        <v>2984</v>
      </c>
      <c r="M700" s="7">
        <v>0.9947</v>
      </c>
      <c r="N700" s="18">
        <f t="shared" si="763"/>
        <v>746</v>
      </c>
      <c r="O700" s="18">
        <f t="shared" si="763"/>
        <v>74610</v>
      </c>
      <c r="P700" s="18">
        <f t="shared" si="704"/>
        <v>44.76</v>
      </c>
      <c r="Q700" s="18">
        <f t="shared" si="705"/>
        <v>248</v>
      </c>
      <c r="R700" s="42" t="s">
        <v>1347</v>
      </c>
      <c r="S700" s="4" t="e">
        <f t="shared" si="706"/>
        <v>#N/A</v>
      </c>
      <c r="W700" s="4"/>
      <c r="X700" s="4"/>
      <c r="AD700" s="4"/>
      <c r="AE700" s="4"/>
    </row>
    <row r="701" s="2" customFormat="1" spans="1:31">
      <c r="A701" s="4">
        <v>699</v>
      </c>
      <c r="B701" s="5" t="s">
        <v>1348</v>
      </c>
      <c r="C701" s="4" t="s">
        <v>1195</v>
      </c>
      <c r="D701" s="25" t="s">
        <v>76</v>
      </c>
      <c r="E701" s="4">
        <v>105</v>
      </c>
      <c r="F701" s="5">
        <v>1</v>
      </c>
      <c r="G701" s="5">
        <v>1</v>
      </c>
      <c r="H701" s="6">
        <f t="shared" si="700"/>
        <v>1</v>
      </c>
      <c r="I701" s="4">
        <f t="shared" si="701"/>
        <v>4971</v>
      </c>
      <c r="J701" s="22">
        <f>ROUND(VLOOKUP(D701,[1]物品容器!$T$3:$U$8,2,FALSE)*M701,0)*0.5</f>
        <v>4970.5</v>
      </c>
      <c r="K701" s="18">
        <f t="shared" si="702"/>
        <v>4971</v>
      </c>
      <c r="L701" s="18">
        <f t="shared" ref="L701:O701" si="764">ROUND($I701*L$2,0)</f>
        <v>2983</v>
      </c>
      <c r="M701" s="7">
        <v>0.9941</v>
      </c>
      <c r="N701" s="18">
        <f t="shared" si="764"/>
        <v>746</v>
      </c>
      <c r="O701" s="18">
        <f t="shared" si="764"/>
        <v>74565</v>
      </c>
      <c r="P701" s="18">
        <f t="shared" si="704"/>
        <v>44.745</v>
      </c>
      <c r="Q701" s="18">
        <f t="shared" si="705"/>
        <v>248</v>
      </c>
      <c r="R701" s="42" t="s">
        <v>1348</v>
      </c>
      <c r="S701" s="4" t="e">
        <f t="shared" si="706"/>
        <v>#N/A</v>
      </c>
      <c r="W701" s="4"/>
      <c r="X701" s="4"/>
      <c r="AD701" s="4"/>
      <c r="AE701" s="4"/>
    </row>
    <row r="702" s="2" customFormat="1" spans="1:31">
      <c r="A702" s="4">
        <v>700</v>
      </c>
      <c r="B702" s="5" t="s">
        <v>1349</v>
      </c>
      <c r="C702" s="4" t="s">
        <v>1195</v>
      </c>
      <c r="D702" s="25" t="s">
        <v>76</v>
      </c>
      <c r="E702" s="4">
        <v>106</v>
      </c>
      <c r="F702" s="5">
        <v>1</v>
      </c>
      <c r="G702" s="5">
        <v>1</v>
      </c>
      <c r="H702" s="6">
        <f t="shared" si="700"/>
        <v>1</v>
      </c>
      <c r="I702" s="4">
        <f t="shared" si="701"/>
        <v>4988</v>
      </c>
      <c r="J702" s="22">
        <f>ROUND(VLOOKUP(D702,[1]物品容器!$T$3:$U$8,2,FALSE)*M702,0)*0.5</f>
        <v>4987.5</v>
      </c>
      <c r="K702" s="18">
        <f t="shared" si="702"/>
        <v>4988</v>
      </c>
      <c r="L702" s="18">
        <f t="shared" ref="L702:O702" si="765">ROUND($I702*L$2,0)</f>
        <v>2993</v>
      </c>
      <c r="M702" s="7">
        <v>0.9975</v>
      </c>
      <c r="N702" s="18">
        <f t="shared" si="765"/>
        <v>748</v>
      </c>
      <c r="O702" s="18">
        <f t="shared" si="765"/>
        <v>74820</v>
      </c>
      <c r="P702" s="18">
        <f t="shared" si="704"/>
        <v>44.895</v>
      </c>
      <c r="Q702" s="18">
        <f t="shared" si="705"/>
        <v>249</v>
      </c>
      <c r="R702" s="42" t="s">
        <v>1349</v>
      </c>
      <c r="S702" s="4" t="e">
        <f t="shared" si="706"/>
        <v>#N/A</v>
      </c>
      <c r="W702" s="4"/>
      <c r="X702" s="4"/>
      <c r="AD702" s="4"/>
      <c r="AE702" s="4"/>
    </row>
    <row r="703" s="2" customFormat="1" spans="1:31">
      <c r="A703" s="4">
        <v>701</v>
      </c>
      <c r="B703" s="5" t="s">
        <v>1350</v>
      </c>
      <c r="C703" s="4" t="s">
        <v>1195</v>
      </c>
      <c r="D703" s="25" t="s">
        <v>76</v>
      </c>
      <c r="E703" s="4">
        <v>107</v>
      </c>
      <c r="F703" s="5">
        <v>1</v>
      </c>
      <c r="G703" s="5">
        <v>1</v>
      </c>
      <c r="H703" s="6">
        <f t="shared" si="700"/>
        <v>1</v>
      </c>
      <c r="I703" s="4">
        <f t="shared" si="701"/>
        <v>4987</v>
      </c>
      <c r="J703" s="22">
        <f>ROUND(VLOOKUP(D703,[1]物品容器!$T$3:$U$8,2,FALSE)*M703,0)*0.5</f>
        <v>4987</v>
      </c>
      <c r="K703" s="18">
        <f t="shared" si="702"/>
        <v>4987</v>
      </c>
      <c r="L703" s="18">
        <f t="shared" ref="L703:O703" si="766">ROUND($I703*L$2,0)</f>
        <v>2992</v>
      </c>
      <c r="M703" s="7">
        <v>0.9974</v>
      </c>
      <c r="N703" s="18">
        <f t="shared" si="766"/>
        <v>748</v>
      </c>
      <c r="O703" s="18">
        <f t="shared" si="766"/>
        <v>74805</v>
      </c>
      <c r="P703" s="18">
        <f t="shared" si="704"/>
        <v>44.88</v>
      </c>
      <c r="Q703" s="18">
        <f t="shared" si="705"/>
        <v>248</v>
      </c>
      <c r="R703" s="42" t="s">
        <v>1350</v>
      </c>
      <c r="S703" s="4" t="e">
        <f t="shared" si="706"/>
        <v>#N/A</v>
      </c>
      <c r="W703" s="4"/>
      <c r="X703" s="4"/>
      <c r="AD703" s="4"/>
      <c r="AE703" s="4"/>
    </row>
    <row r="704" s="2" customFormat="1" spans="1:31">
      <c r="A704" s="4">
        <v>702</v>
      </c>
      <c r="B704" s="5" t="s">
        <v>1351</v>
      </c>
      <c r="C704" s="4" t="s">
        <v>1195</v>
      </c>
      <c r="D704" s="25" t="s">
        <v>76</v>
      </c>
      <c r="E704" s="4">
        <v>108</v>
      </c>
      <c r="F704" s="5">
        <v>1</v>
      </c>
      <c r="G704" s="5">
        <v>1</v>
      </c>
      <c r="H704" s="6">
        <f t="shared" si="700"/>
        <v>1</v>
      </c>
      <c r="I704" s="4">
        <f t="shared" si="701"/>
        <v>5022</v>
      </c>
      <c r="J704" s="22">
        <f>ROUND(VLOOKUP(D704,[1]物品容器!$T$3:$U$8,2,FALSE)*M704,0)*0.5</f>
        <v>5021.5</v>
      </c>
      <c r="K704" s="18">
        <f t="shared" si="702"/>
        <v>5022</v>
      </c>
      <c r="L704" s="18">
        <f t="shared" ref="L704:O704" si="767">ROUND($I704*L$2,0)</f>
        <v>3013</v>
      </c>
      <c r="M704" s="7">
        <v>1.0043</v>
      </c>
      <c r="N704" s="18">
        <f t="shared" si="767"/>
        <v>753</v>
      </c>
      <c r="O704" s="18">
        <f t="shared" si="767"/>
        <v>75330</v>
      </c>
      <c r="P704" s="18">
        <f t="shared" si="704"/>
        <v>45.195</v>
      </c>
      <c r="Q704" s="18">
        <f t="shared" si="705"/>
        <v>250</v>
      </c>
      <c r="R704" s="42" t="s">
        <v>1351</v>
      </c>
      <c r="S704" s="4" t="e">
        <f t="shared" si="706"/>
        <v>#N/A</v>
      </c>
      <c r="W704" s="4"/>
      <c r="X704" s="4"/>
      <c r="AD704" s="4"/>
      <c r="AE704" s="4"/>
    </row>
    <row r="705" s="2" customFormat="1" spans="1:31">
      <c r="A705" s="4">
        <v>703</v>
      </c>
      <c r="B705" s="5" t="s">
        <v>1352</v>
      </c>
      <c r="C705" s="4" t="s">
        <v>1195</v>
      </c>
      <c r="D705" s="25" t="s">
        <v>76</v>
      </c>
      <c r="E705" s="4">
        <v>109</v>
      </c>
      <c r="F705" s="5">
        <v>1</v>
      </c>
      <c r="G705" s="5">
        <v>1</v>
      </c>
      <c r="H705" s="6">
        <f t="shared" si="700"/>
        <v>1</v>
      </c>
      <c r="I705" s="4">
        <f t="shared" si="701"/>
        <v>4998</v>
      </c>
      <c r="J705" s="22">
        <f>ROUND(VLOOKUP(D705,[1]物品容器!$T$3:$U$8,2,FALSE)*M705,0)*0.5</f>
        <v>4997.5</v>
      </c>
      <c r="K705" s="18">
        <f t="shared" si="702"/>
        <v>4998</v>
      </c>
      <c r="L705" s="18">
        <f t="shared" ref="L705:O705" si="768">ROUND($I705*L$2,0)</f>
        <v>2999</v>
      </c>
      <c r="M705" s="7">
        <v>0.9995</v>
      </c>
      <c r="N705" s="18">
        <f t="shared" si="768"/>
        <v>750</v>
      </c>
      <c r="O705" s="18">
        <f t="shared" si="768"/>
        <v>74970</v>
      </c>
      <c r="P705" s="18">
        <f t="shared" si="704"/>
        <v>44.985</v>
      </c>
      <c r="Q705" s="18">
        <f t="shared" si="705"/>
        <v>249</v>
      </c>
      <c r="R705" s="42" t="s">
        <v>1352</v>
      </c>
      <c r="S705" s="4" t="e">
        <f t="shared" si="706"/>
        <v>#N/A</v>
      </c>
      <c r="W705" s="4"/>
      <c r="X705" s="4"/>
      <c r="AD705" s="4"/>
      <c r="AE705" s="4"/>
    </row>
    <row r="706" s="2" customFormat="1" spans="1:31">
      <c r="A706" s="4">
        <v>704</v>
      </c>
      <c r="B706" s="5" t="s">
        <v>1353</v>
      </c>
      <c r="C706" s="4" t="s">
        <v>1195</v>
      </c>
      <c r="D706" s="25" t="s">
        <v>76</v>
      </c>
      <c r="E706" s="4">
        <v>110</v>
      </c>
      <c r="F706" s="5">
        <v>1</v>
      </c>
      <c r="G706" s="5">
        <v>1</v>
      </c>
      <c r="H706" s="6">
        <f t="shared" si="700"/>
        <v>1</v>
      </c>
      <c r="I706" s="4">
        <f t="shared" si="701"/>
        <v>5017</v>
      </c>
      <c r="J706" s="22">
        <f>ROUND(VLOOKUP(D706,[1]物品容器!$T$3:$U$8,2,FALSE)*M706,0)*0.5</f>
        <v>5017</v>
      </c>
      <c r="K706" s="18">
        <f t="shared" si="702"/>
        <v>5017</v>
      </c>
      <c r="L706" s="18">
        <f t="shared" ref="L706:O706" si="769">ROUND($I706*L$2,0)</f>
        <v>3010</v>
      </c>
      <c r="M706" s="7">
        <v>1.0034</v>
      </c>
      <c r="N706" s="18">
        <f t="shared" si="769"/>
        <v>753</v>
      </c>
      <c r="O706" s="18">
        <f t="shared" si="769"/>
        <v>75255</v>
      </c>
      <c r="P706" s="18">
        <f t="shared" si="704"/>
        <v>45.15</v>
      </c>
      <c r="Q706" s="18">
        <f t="shared" si="705"/>
        <v>250</v>
      </c>
      <c r="R706" s="42" t="s">
        <v>1353</v>
      </c>
      <c r="S706" s="4" t="e">
        <f t="shared" si="706"/>
        <v>#N/A</v>
      </c>
      <c r="W706" s="4"/>
      <c r="X706" s="4"/>
      <c r="AD706" s="4"/>
      <c r="AE706" s="4"/>
    </row>
    <row r="707" s="2" customFormat="1" spans="1:31">
      <c r="A707" s="4">
        <v>705</v>
      </c>
      <c r="B707" s="5" t="s">
        <v>1354</v>
      </c>
      <c r="C707" s="4" t="s">
        <v>1195</v>
      </c>
      <c r="D707" s="25" t="s">
        <v>76</v>
      </c>
      <c r="E707" s="4">
        <v>111</v>
      </c>
      <c r="F707" s="5">
        <v>1</v>
      </c>
      <c r="G707" s="5">
        <v>1</v>
      </c>
      <c r="H707" s="6">
        <f t="shared" ref="H707:H741" si="770">VLOOKUP(F707*G707,$T$3:$U$11,2,FALSE)</f>
        <v>1</v>
      </c>
      <c r="I707" s="4">
        <f t="shared" ref="I707:I741" si="771">ROUND(F707*G707*J707*H707,0)</f>
        <v>5036</v>
      </c>
      <c r="J707" s="22">
        <f>ROUND(VLOOKUP(D707,[1]物品容器!$T$3:$U$8,2,FALSE)*M707,0)*0.5</f>
        <v>5035.5</v>
      </c>
      <c r="K707" s="18">
        <f t="shared" ref="K707:K741" si="772">ROUND(J707*H707,0)</f>
        <v>5036</v>
      </c>
      <c r="L707" s="18">
        <f t="shared" ref="L707:O707" si="773">ROUND($I707*L$2,0)</f>
        <v>3022</v>
      </c>
      <c r="M707" s="7">
        <v>1.0071</v>
      </c>
      <c r="N707" s="18">
        <f t="shared" si="773"/>
        <v>755</v>
      </c>
      <c r="O707" s="18">
        <f t="shared" si="773"/>
        <v>75540</v>
      </c>
      <c r="P707" s="18">
        <f t="shared" ref="P707:P741" si="774">L707*1.5%</f>
        <v>45.33</v>
      </c>
      <c r="Q707" s="18">
        <f t="shared" ref="Q707:Q741" si="775">ROUND((O707-N707)*$Q$2,0)</f>
        <v>251</v>
      </c>
      <c r="R707" s="42" t="s">
        <v>1354</v>
      </c>
      <c r="S707" s="4" t="e">
        <f t="shared" ref="S707:S741" si="776">VLOOKUP(B707,$AD:$AE,2,FALSE)</f>
        <v>#N/A</v>
      </c>
      <c r="W707" s="4"/>
      <c r="X707" s="4"/>
      <c r="AD707" s="4"/>
      <c r="AE707" s="4"/>
    </row>
    <row r="708" s="2" customFormat="1" spans="1:31">
      <c r="A708" s="4">
        <v>706</v>
      </c>
      <c r="B708" s="5" t="s">
        <v>1355</v>
      </c>
      <c r="C708" s="4" t="s">
        <v>1195</v>
      </c>
      <c r="D708" s="25" t="s">
        <v>76</v>
      </c>
      <c r="E708" s="4">
        <v>112</v>
      </c>
      <c r="F708" s="5">
        <v>1</v>
      </c>
      <c r="G708" s="5">
        <v>1</v>
      </c>
      <c r="H708" s="6">
        <f t="shared" si="770"/>
        <v>1</v>
      </c>
      <c r="I708" s="4">
        <f t="shared" si="771"/>
        <v>5041</v>
      </c>
      <c r="J708" s="22">
        <f>ROUND(VLOOKUP(D708,[1]物品容器!$T$3:$U$8,2,FALSE)*M708,0)*0.5</f>
        <v>5041</v>
      </c>
      <c r="K708" s="18">
        <f t="shared" si="772"/>
        <v>5041</v>
      </c>
      <c r="L708" s="18">
        <f t="shared" ref="L708:O708" si="777">ROUND($I708*L$2,0)</f>
        <v>3025</v>
      </c>
      <c r="M708" s="7">
        <v>1.0082</v>
      </c>
      <c r="N708" s="18">
        <f t="shared" si="777"/>
        <v>756</v>
      </c>
      <c r="O708" s="18">
        <f t="shared" si="777"/>
        <v>75615</v>
      </c>
      <c r="P708" s="18">
        <f t="shared" si="774"/>
        <v>45.375</v>
      </c>
      <c r="Q708" s="18">
        <f t="shared" si="775"/>
        <v>251</v>
      </c>
      <c r="R708" s="42" t="s">
        <v>1355</v>
      </c>
      <c r="S708" s="4" t="e">
        <f t="shared" si="776"/>
        <v>#N/A</v>
      </c>
      <c r="W708" s="4"/>
      <c r="X708" s="4"/>
      <c r="AD708" s="4"/>
      <c r="AE708" s="4"/>
    </row>
    <row r="709" s="2" customFormat="1" spans="1:31">
      <c r="A709" s="4">
        <v>707</v>
      </c>
      <c r="B709" s="5" t="s">
        <v>1356</v>
      </c>
      <c r="C709" s="4" t="s">
        <v>1195</v>
      </c>
      <c r="D709" s="25" t="s">
        <v>76</v>
      </c>
      <c r="E709" s="4">
        <v>113</v>
      </c>
      <c r="F709" s="5">
        <v>1</v>
      </c>
      <c r="G709" s="5">
        <v>1</v>
      </c>
      <c r="H709" s="6">
        <f t="shared" si="770"/>
        <v>1</v>
      </c>
      <c r="I709" s="4">
        <f t="shared" si="771"/>
        <v>4995</v>
      </c>
      <c r="J709" s="22">
        <f>ROUND(VLOOKUP(D709,[1]物品容器!$T$3:$U$8,2,FALSE)*M709,0)*0.5</f>
        <v>4994.5</v>
      </c>
      <c r="K709" s="18">
        <f t="shared" si="772"/>
        <v>4995</v>
      </c>
      <c r="L709" s="18">
        <f t="shared" ref="L709:O709" si="778">ROUND($I709*L$2,0)</f>
        <v>2997</v>
      </c>
      <c r="M709" s="7">
        <v>0.9989</v>
      </c>
      <c r="N709" s="18">
        <f t="shared" si="778"/>
        <v>749</v>
      </c>
      <c r="O709" s="18">
        <f t="shared" si="778"/>
        <v>74925</v>
      </c>
      <c r="P709" s="18">
        <f t="shared" si="774"/>
        <v>44.955</v>
      </c>
      <c r="Q709" s="18">
        <f t="shared" si="775"/>
        <v>249</v>
      </c>
      <c r="R709" s="42" t="s">
        <v>1356</v>
      </c>
      <c r="S709" s="4" t="e">
        <f t="shared" si="776"/>
        <v>#N/A</v>
      </c>
      <c r="W709" s="4"/>
      <c r="X709" s="4"/>
      <c r="AD709" s="4"/>
      <c r="AE709" s="4"/>
    </row>
    <row r="710" s="2" customFormat="1" spans="1:31">
      <c r="A710" s="4">
        <v>708</v>
      </c>
      <c r="B710" s="5" t="s">
        <v>1357</v>
      </c>
      <c r="C710" s="4" t="s">
        <v>1195</v>
      </c>
      <c r="D710" s="25" t="s">
        <v>76</v>
      </c>
      <c r="E710" s="4">
        <v>114</v>
      </c>
      <c r="F710" s="5">
        <v>1</v>
      </c>
      <c r="G710" s="5">
        <v>1</v>
      </c>
      <c r="H710" s="6">
        <f t="shared" si="770"/>
        <v>1</v>
      </c>
      <c r="I710" s="4">
        <f t="shared" si="771"/>
        <v>5042</v>
      </c>
      <c r="J710" s="22">
        <f>ROUND(VLOOKUP(D710,[1]物品容器!$T$3:$U$8,2,FALSE)*M710,0)*0.5</f>
        <v>5042</v>
      </c>
      <c r="K710" s="18">
        <f t="shared" si="772"/>
        <v>5042</v>
      </c>
      <c r="L710" s="18">
        <f t="shared" ref="L710:O710" si="779">ROUND($I710*L$2,0)</f>
        <v>3025</v>
      </c>
      <c r="M710" s="7">
        <v>1.0084</v>
      </c>
      <c r="N710" s="18">
        <f t="shared" si="779"/>
        <v>756</v>
      </c>
      <c r="O710" s="18">
        <f t="shared" si="779"/>
        <v>75630</v>
      </c>
      <c r="P710" s="18">
        <f t="shared" si="774"/>
        <v>45.375</v>
      </c>
      <c r="Q710" s="18">
        <f t="shared" si="775"/>
        <v>251</v>
      </c>
      <c r="R710" s="42" t="s">
        <v>1357</v>
      </c>
      <c r="S710" s="4" t="e">
        <f t="shared" si="776"/>
        <v>#N/A</v>
      </c>
      <c r="W710" s="4"/>
      <c r="X710" s="4"/>
      <c r="AD710" s="4"/>
      <c r="AE710" s="4"/>
    </row>
    <row r="711" s="2" customFormat="1" spans="1:31">
      <c r="A711" s="4">
        <v>709</v>
      </c>
      <c r="B711" s="5" t="s">
        <v>1358</v>
      </c>
      <c r="C711" s="4" t="s">
        <v>1195</v>
      </c>
      <c r="D711" s="26" t="s">
        <v>94</v>
      </c>
      <c r="E711" s="4">
        <v>115</v>
      </c>
      <c r="F711" s="5">
        <v>1</v>
      </c>
      <c r="G711" s="5">
        <v>1</v>
      </c>
      <c r="H711" s="6">
        <f t="shared" si="770"/>
        <v>1</v>
      </c>
      <c r="I711" s="4">
        <f t="shared" si="771"/>
        <v>3019</v>
      </c>
      <c r="J711" s="13">
        <f>ROUND(VLOOKUP(D711,[1]物品容器!$T$3:$U$8,2,FALSE)*M711,0)</f>
        <v>3019</v>
      </c>
      <c r="K711" s="18">
        <f t="shared" si="772"/>
        <v>3019</v>
      </c>
      <c r="L711" s="18">
        <f t="shared" ref="L711:O711" si="780">ROUND($I711*L$2,0)</f>
        <v>1811</v>
      </c>
      <c r="M711" s="7">
        <v>1.0063</v>
      </c>
      <c r="N711" s="18">
        <f t="shared" si="780"/>
        <v>453</v>
      </c>
      <c r="O711" s="18">
        <f t="shared" si="780"/>
        <v>45285</v>
      </c>
      <c r="P711" s="18">
        <f t="shared" si="774"/>
        <v>27.165</v>
      </c>
      <c r="Q711" s="18">
        <f t="shared" si="775"/>
        <v>150</v>
      </c>
      <c r="R711" s="42" t="s">
        <v>1358</v>
      </c>
      <c r="S711" s="4" t="e">
        <f t="shared" si="776"/>
        <v>#N/A</v>
      </c>
      <c r="W711" s="4"/>
      <c r="X711" s="4"/>
      <c r="AD711" s="4"/>
      <c r="AE711" s="4"/>
    </row>
    <row r="712" s="2" customFormat="1" spans="1:31">
      <c r="A712" s="4">
        <v>710</v>
      </c>
      <c r="B712" s="5" t="s">
        <v>1359</v>
      </c>
      <c r="C712" s="4" t="s">
        <v>1195</v>
      </c>
      <c r="D712" s="26" t="s">
        <v>94</v>
      </c>
      <c r="E712" s="4">
        <v>116</v>
      </c>
      <c r="F712" s="5">
        <v>1</v>
      </c>
      <c r="G712" s="5">
        <v>1</v>
      </c>
      <c r="H712" s="6">
        <f t="shared" si="770"/>
        <v>1</v>
      </c>
      <c r="I712" s="4">
        <f t="shared" si="771"/>
        <v>3026</v>
      </c>
      <c r="J712" s="13">
        <f>ROUND(VLOOKUP(D712,[1]物品容器!$T$3:$U$8,2,FALSE)*M712,0)</f>
        <v>3026</v>
      </c>
      <c r="K712" s="18">
        <f t="shared" si="772"/>
        <v>3026</v>
      </c>
      <c r="L712" s="18">
        <f t="shared" ref="L712:O712" si="781">ROUND($I712*L$2,0)</f>
        <v>1816</v>
      </c>
      <c r="M712" s="7">
        <v>1.0085</v>
      </c>
      <c r="N712" s="18">
        <f t="shared" si="781"/>
        <v>454</v>
      </c>
      <c r="O712" s="18">
        <f t="shared" si="781"/>
        <v>45390</v>
      </c>
      <c r="P712" s="18">
        <f t="shared" si="774"/>
        <v>27.24</v>
      </c>
      <c r="Q712" s="18">
        <f t="shared" si="775"/>
        <v>151</v>
      </c>
      <c r="R712" s="42" t="s">
        <v>1359</v>
      </c>
      <c r="S712" s="4" t="e">
        <f t="shared" si="776"/>
        <v>#N/A</v>
      </c>
      <c r="W712" s="4"/>
      <c r="X712" s="4"/>
      <c r="AD712" s="4"/>
      <c r="AE712" s="4"/>
    </row>
    <row r="713" s="2" customFormat="1" spans="1:31">
      <c r="A713" s="4">
        <v>711</v>
      </c>
      <c r="B713" s="5" t="s">
        <v>1360</v>
      </c>
      <c r="C713" s="4" t="s">
        <v>1195</v>
      </c>
      <c r="D713" s="26" t="s">
        <v>94</v>
      </c>
      <c r="E713" s="4">
        <v>117</v>
      </c>
      <c r="F713" s="5">
        <v>1</v>
      </c>
      <c r="G713" s="5">
        <v>1</v>
      </c>
      <c r="H713" s="6">
        <f t="shared" si="770"/>
        <v>1</v>
      </c>
      <c r="I713" s="4">
        <f t="shared" si="771"/>
        <v>2975</v>
      </c>
      <c r="J713" s="13">
        <f>ROUND(VLOOKUP(D713,[1]物品容器!$T$3:$U$8,2,FALSE)*M713,0)</f>
        <v>2975</v>
      </c>
      <c r="K713" s="18">
        <f t="shared" si="772"/>
        <v>2975</v>
      </c>
      <c r="L713" s="18">
        <f t="shared" ref="L713:O713" si="782">ROUND($I713*L$2,0)</f>
        <v>1785</v>
      </c>
      <c r="M713" s="7">
        <v>0.9915</v>
      </c>
      <c r="N713" s="18">
        <f t="shared" si="782"/>
        <v>446</v>
      </c>
      <c r="O713" s="18">
        <f t="shared" si="782"/>
        <v>44625</v>
      </c>
      <c r="P713" s="18">
        <f t="shared" si="774"/>
        <v>26.775</v>
      </c>
      <c r="Q713" s="18">
        <f t="shared" si="775"/>
        <v>148</v>
      </c>
      <c r="R713" s="42" t="s">
        <v>1360</v>
      </c>
      <c r="S713" s="4" t="e">
        <f t="shared" si="776"/>
        <v>#N/A</v>
      </c>
      <c r="W713" s="4"/>
      <c r="X713" s="4"/>
      <c r="AD713" s="4"/>
      <c r="AE713" s="4"/>
    </row>
    <row r="714" s="2" customFormat="1" spans="1:31">
      <c r="A714" s="4">
        <v>712</v>
      </c>
      <c r="B714" s="5" t="s">
        <v>1361</v>
      </c>
      <c r="C714" s="4" t="s">
        <v>1195</v>
      </c>
      <c r="D714" s="26" t="s">
        <v>94</v>
      </c>
      <c r="E714" s="4">
        <v>118</v>
      </c>
      <c r="F714" s="5">
        <v>1</v>
      </c>
      <c r="G714" s="5">
        <v>1</v>
      </c>
      <c r="H714" s="6">
        <f t="shared" si="770"/>
        <v>1</v>
      </c>
      <c r="I714" s="4">
        <f t="shared" si="771"/>
        <v>2995</v>
      </c>
      <c r="J714" s="13">
        <f>ROUND(VLOOKUP(D714,[1]物品容器!$T$3:$U$8,2,FALSE)*M714,0)</f>
        <v>2995</v>
      </c>
      <c r="K714" s="18">
        <f t="shared" si="772"/>
        <v>2995</v>
      </c>
      <c r="L714" s="18">
        <f t="shared" ref="L714:O714" si="783">ROUND($I714*L$2,0)</f>
        <v>1797</v>
      </c>
      <c r="M714" s="7">
        <v>0.9984</v>
      </c>
      <c r="N714" s="18">
        <f t="shared" si="783"/>
        <v>449</v>
      </c>
      <c r="O714" s="18">
        <f t="shared" si="783"/>
        <v>44925</v>
      </c>
      <c r="P714" s="18">
        <f t="shared" si="774"/>
        <v>26.955</v>
      </c>
      <c r="Q714" s="18">
        <f t="shared" si="775"/>
        <v>149</v>
      </c>
      <c r="R714" s="42" t="s">
        <v>1361</v>
      </c>
      <c r="S714" s="4" t="e">
        <f t="shared" si="776"/>
        <v>#N/A</v>
      </c>
      <c r="W714" s="4"/>
      <c r="X714" s="4"/>
      <c r="AD714" s="4"/>
      <c r="AE714" s="4"/>
    </row>
    <row r="715" s="2" customFormat="1" spans="1:31">
      <c r="A715" s="4">
        <v>713</v>
      </c>
      <c r="B715" s="5" t="s">
        <v>1362</v>
      </c>
      <c r="C715" s="4" t="s">
        <v>1195</v>
      </c>
      <c r="D715" s="26" t="s">
        <v>94</v>
      </c>
      <c r="E715" s="4">
        <v>119</v>
      </c>
      <c r="F715" s="5">
        <v>1</v>
      </c>
      <c r="G715" s="5">
        <v>1</v>
      </c>
      <c r="H715" s="6">
        <f t="shared" si="770"/>
        <v>1</v>
      </c>
      <c r="I715" s="4">
        <f t="shared" si="771"/>
        <v>3000</v>
      </c>
      <c r="J715" s="13">
        <f>ROUND(VLOOKUP(D715,[1]物品容器!$T$3:$U$8,2,FALSE)*M715,0)</f>
        <v>3000</v>
      </c>
      <c r="K715" s="18">
        <f t="shared" si="772"/>
        <v>3000</v>
      </c>
      <c r="L715" s="18">
        <f t="shared" ref="L715:O715" si="784">ROUND($I715*L$2,0)</f>
        <v>1800</v>
      </c>
      <c r="M715" s="7">
        <v>1.0001</v>
      </c>
      <c r="N715" s="18">
        <f t="shared" si="784"/>
        <v>450</v>
      </c>
      <c r="O715" s="18">
        <f t="shared" si="784"/>
        <v>45000</v>
      </c>
      <c r="P715" s="18">
        <f t="shared" si="774"/>
        <v>27</v>
      </c>
      <c r="Q715" s="18">
        <f t="shared" si="775"/>
        <v>149</v>
      </c>
      <c r="R715" s="42" t="s">
        <v>1362</v>
      </c>
      <c r="S715" s="4" t="e">
        <f t="shared" si="776"/>
        <v>#N/A</v>
      </c>
      <c r="W715" s="4"/>
      <c r="X715" s="4"/>
      <c r="AD715" s="4"/>
      <c r="AE715" s="4"/>
    </row>
    <row r="716" s="2" customFormat="1" spans="1:31">
      <c r="A716" s="4">
        <v>714</v>
      </c>
      <c r="B716" s="5" t="s">
        <v>1363</v>
      </c>
      <c r="C716" s="4" t="s">
        <v>1195</v>
      </c>
      <c r="D716" s="26" t="s">
        <v>94</v>
      </c>
      <c r="E716" s="4">
        <v>120</v>
      </c>
      <c r="F716" s="5">
        <v>1</v>
      </c>
      <c r="G716" s="5">
        <v>1</v>
      </c>
      <c r="H716" s="6">
        <f t="shared" si="770"/>
        <v>1</v>
      </c>
      <c r="I716" s="4">
        <f t="shared" si="771"/>
        <v>3021</v>
      </c>
      <c r="J716" s="13">
        <f>ROUND(VLOOKUP(D716,[1]物品容器!$T$3:$U$8,2,FALSE)*M716,0)</f>
        <v>3021</v>
      </c>
      <c r="K716" s="18">
        <f t="shared" si="772"/>
        <v>3021</v>
      </c>
      <c r="L716" s="18">
        <f t="shared" ref="L716:O716" si="785">ROUND($I716*L$2,0)</f>
        <v>1813</v>
      </c>
      <c r="M716" s="7">
        <v>1.0071</v>
      </c>
      <c r="N716" s="18">
        <f t="shared" si="785"/>
        <v>453</v>
      </c>
      <c r="O716" s="18">
        <f t="shared" si="785"/>
        <v>45315</v>
      </c>
      <c r="P716" s="18">
        <f t="shared" si="774"/>
        <v>27.195</v>
      </c>
      <c r="Q716" s="18">
        <f t="shared" si="775"/>
        <v>151</v>
      </c>
      <c r="R716" s="42" t="s">
        <v>1363</v>
      </c>
      <c r="S716" s="4" t="e">
        <f t="shared" si="776"/>
        <v>#N/A</v>
      </c>
      <c r="W716" s="4"/>
      <c r="X716" s="4"/>
      <c r="AD716" s="4"/>
      <c r="AE716" s="4"/>
    </row>
    <row r="717" s="2" customFormat="1" spans="1:31">
      <c r="A717" s="4">
        <v>715</v>
      </c>
      <c r="B717" s="5" t="s">
        <v>1364</v>
      </c>
      <c r="C717" s="4" t="s">
        <v>1195</v>
      </c>
      <c r="D717" s="26" t="s">
        <v>94</v>
      </c>
      <c r="E717" s="4">
        <v>121</v>
      </c>
      <c r="F717" s="5">
        <v>1</v>
      </c>
      <c r="G717" s="5">
        <v>1</v>
      </c>
      <c r="H717" s="6">
        <f t="shared" si="770"/>
        <v>1</v>
      </c>
      <c r="I717" s="4">
        <f t="shared" si="771"/>
        <v>3025</v>
      </c>
      <c r="J717" s="13">
        <f>ROUND(VLOOKUP(D717,[1]物品容器!$T$3:$U$8,2,FALSE)*M717,0)</f>
        <v>3025</v>
      </c>
      <c r="K717" s="18">
        <f t="shared" si="772"/>
        <v>3025</v>
      </c>
      <c r="L717" s="18">
        <f t="shared" ref="L717:O717" si="786">ROUND($I717*L$2,0)</f>
        <v>1815</v>
      </c>
      <c r="M717" s="7">
        <v>1.0084</v>
      </c>
      <c r="N717" s="18">
        <f t="shared" si="786"/>
        <v>454</v>
      </c>
      <c r="O717" s="18">
        <f t="shared" si="786"/>
        <v>45375</v>
      </c>
      <c r="P717" s="18">
        <f t="shared" si="774"/>
        <v>27.225</v>
      </c>
      <c r="Q717" s="18">
        <f t="shared" si="775"/>
        <v>151</v>
      </c>
      <c r="R717" s="42" t="s">
        <v>1364</v>
      </c>
      <c r="S717" s="4" t="e">
        <f t="shared" si="776"/>
        <v>#N/A</v>
      </c>
      <c r="W717" s="4"/>
      <c r="X717" s="4"/>
      <c r="AD717" s="4"/>
      <c r="AE717" s="4"/>
    </row>
    <row r="718" s="2" customFormat="1" spans="1:31">
      <c r="A718" s="4">
        <v>716</v>
      </c>
      <c r="B718" s="5" t="s">
        <v>1365</v>
      </c>
      <c r="C718" s="4" t="s">
        <v>1195</v>
      </c>
      <c r="D718" s="26" t="s">
        <v>94</v>
      </c>
      <c r="E718" s="4">
        <v>122</v>
      </c>
      <c r="F718" s="5">
        <v>1</v>
      </c>
      <c r="G718" s="5">
        <v>1</v>
      </c>
      <c r="H718" s="6">
        <f t="shared" si="770"/>
        <v>1</v>
      </c>
      <c r="I718" s="4">
        <f t="shared" si="771"/>
        <v>2985</v>
      </c>
      <c r="J718" s="13">
        <f>ROUND(VLOOKUP(D718,[1]物品容器!$T$3:$U$8,2,FALSE)*M718,0)</f>
        <v>2985</v>
      </c>
      <c r="K718" s="18">
        <f t="shared" si="772"/>
        <v>2985</v>
      </c>
      <c r="L718" s="18">
        <f t="shared" ref="L718:O718" si="787">ROUND($I718*L$2,0)</f>
        <v>1791</v>
      </c>
      <c r="M718" s="7">
        <v>0.9951</v>
      </c>
      <c r="N718" s="18">
        <f t="shared" si="787"/>
        <v>448</v>
      </c>
      <c r="O718" s="18">
        <f t="shared" si="787"/>
        <v>44775</v>
      </c>
      <c r="P718" s="18">
        <f t="shared" si="774"/>
        <v>26.865</v>
      </c>
      <c r="Q718" s="18">
        <f t="shared" si="775"/>
        <v>149</v>
      </c>
      <c r="R718" s="42" t="s">
        <v>1365</v>
      </c>
      <c r="S718" s="4" t="e">
        <f t="shared" si="776"/>
        <v>#N/A</v>
      </c>
      <c r="W718" s="4"/>
      <c r="X718" s="4"/>
      <c r="AD718" s="4"/>
      <c r="AE718" s="4"/>
    </row>
    <row r="719" s="2" customFormat="1" spans="1:31">
      <c r="A719" s="4">
        <v>717</v>
      </c>
      <c r="B719" s="5" t="s">
        <v>1366</v>
      </c>
      <c r="C719" s="4" t="s">
        <v>1195</v>
      </c>
      <c r="D719" s="26" t="s">
        <v>94</v>
      </c>
      <c r="E719" s="4">
        <v>123</v>
      </c>
      <c r="F719" s="5">
        <v>1</v>
      </c>
      <c r="G719" s="5">
        <v>1</v>
      </c>
      <c r="H719" s="6">
        <f t="shared" si="770"/>
        <v>1</v>
      </c>
      <c r="I719" s="4">
        <f t="shared" si="771"/>
        <v>2978</v>
      </c>
      <c r="J719" s="13">
        <f>ROUND(VLOOKUP(D719,[1]物品容器!$T$3:$U$8,2,FALSE)*M719,0)</f>
        <v>2978</v>
      </c>
      <c r="K719" s="18">
        <f t="shared" si="772"/>
        <v>2978</v>
      </c>
      <c r="L719" s="18">
        <f t="shared" ref="L719:O719" si="788">ROUND($I719*L$2,0)</f>
        <v>1787</v>
      </c>
      <c r="M719" s="7">
        <v>0.9928</v>
      </c>
      <c r="N719" s="18">
        <f t="shared" si="788"/>
        <v>447</v>
      </c>
      <c r="O719" s="18">
        <f t="shared" si="788"/>
        <v>44670</v>
      </c>
      <c r="P719" s="18">
        <f t="shared" si="774"/>
        <v>26.805</v>
      </c>
      <c r="Q719" s="18">
        <f t="shared" si="775"/>
        <v>148</v>
      </c>
      <c r="R719" s="42" t="s">
        <v>1366</v>
      </c>
      <c r="S719" s="4" t="e">
        <f t="shared" si="776"/>
        <v>#N/A</v>
      </c>
      <c r="W719" s="4"/>
      <c r="X719" s="4"/>
      <c r="AD719" s="4"/>
      <c r="AE719" s="4"/>
    </row>
    <row r="720" s="2" customFormat="1" spans="1:31">
      <c r="A720" s="4">
        <v>718</v>
      </c>
      <c r="B720" s="5" t="s">
        <v>1367</v>
      </c>
      <c r="C720" s="4" t="s">
        <v>1195</v>
      </c>
      <c r="D720" s="26" t="s">
        <v>94</v>
      </c>
      <c r="E720" s="4">
        <v>124</v>
      </c>
      <c r="F720" s="5">
        <v>1</v>
      </c>
      <c r="G720" s="5">
        <v>1</v>
      </c>
      <c r="H720" s="6">
        <f t="shared" si="770"/>
        <v>1</v>
      </c>
      <c r="I720" s="4">
        <f t="shared" si="771"/>
        <v>3025</v>
      </c>
      <c r="J720" s="13">
        <f>ROUND(VLOOKUP(D720,[1]物品容器!$T$3:$U$8,2,FALSE)*M720,0)</f>
        <v>3025</v>
      </c>
      <c r="K720" s="18">
        <f t="shared" si="772"/>
        <v>3025</v>
      </c>
      <c r="L720" s="18">
        <f t="shared" ref="L720:O720" si="789">ROUND($I720*L$2,0)</f>
        <v>1815</v>
      </c>
      <c r="M720" s="7">
        <v>1.0083</v>
      </c>
      <c r="N720" s="18">
        <f t="shared" si="789"/>
        <v>454</v>
      </c>
      <c r="O720" s="18">
        <f t="shared" si="789"/>
        <v>45375</v>
      </c>
      <c r="P720" s="18">
        <f t="shared" si="774"/>
        <v>27.225</v>
      </c>
      <c r="Q720" s="18">
        <f t="shared" si="775"/>
        <v>151</v>
      </c>
      <c r="R720" s="42" t="s">
        <v>1367</v>
      </c>
      <c r="S720" s="4" t="e">
        <f t="shared" si="776"/>
        <v>#N/A</v>
      </c>
      <c r="W720" s="4"/>
      <c r="X720" s="4"/>
      <c r="AD720" s="4"/>
      <c r="AE720" s="4"/>
    </row>
    <row r="721" s="2" customFormat="1" spans="1:31">
      <c r="A721" s="4">
        <v>719</v>
      </c>
      <c r="B721" s="5" t="s">
        <v>1368</v>
      </c>
      <c r="C721" s="4" t="s">
        <v>1195</v>
      </c>
      <c r="D721" s="26" t="s">
        <v>94</v>
      </c>
      <c r="E721" s="4">
        <v>125</v>
      </c>
      <c r="F721" s="5">
        <v>1</v>
      </c>
      <c r="G721" s="5">
        <v>1</v>
      </c>
      <c r="H721" s="6">
        <f t="shared" si="770"/>
        <v>1</v>
      </c>
      <c r="I721" s="4">
        <f t="shared" si="771"/>
        <v>2974</v>
      </c>
      <c r="J721" s="13">
        <f>ROUND(VLOOKUP(D721,[1]物品容器!$T$3:$U$8,2,FALSE)*M721,0)</f>
        <v>2974</v>
      </c>
      <c r="K721" s="18">
        <f t="shared" si="772"/>
        <v>2974</v>
      </c>
      <c r="L721" s="18">
        <f t="shared" ref="L721:O721" si="790">ROUND($I721*L$2,0)</f>
        <v>1784</v>
      </c>
      <c r="M721" s="7">
        <v>0.9914</v>
      </c>
      <c r="N721" s="18">
        <f t="shared" si="790"/>
        <v>446</v>
      </c>
      <c r="O721" s="18">
        <f t="shared" si="790"/>
        <v>44610</v>
      </c>
      <c r="P721" s="18">
        <f t="shared" si="774"/>
        <v>26.76</v>
      </c>
      <c r="Q721" s="18">
        <f t="shared" si="775"/>
        <v>148</v>
      </c>
      <c r="R721" s="42" t="s">
        <v>1368</v>
      </c>
      <c r="S721" s="4" t="e">
        <f t="shared" si="776"/>
        <v>#N/A</v>
      </c>
      <c r="W721" s="4"/>
      <c r="X721" s="4"/>
      <c r="AD721" s="4"/>
      <c r="AE721" s="4"/>
    </row>
    <row r="722" s="2" customFormat="1" spans="1:31">
      <c r="A722" s="4">
        <v>720</v>
      </c>
      <c r="B722" s="5" t="s">
        <v>1369</v>
      </c>
      <c r="C722" s="4" t="s">
        <v>1195</v>
      </c>
      <c r="D722" s="26" t="s">
        <v>94</v>
      </c>
      <c r="E722" s="4">
        <v>126</v>
      </c>
      <c r="F722" s="5">
        <v>1</v>
      </c>
      <c r="G722" s="5">
        <v>1</v>
      </c>
      <c r="H722" s="6">
        <f t="shared" si="770"/>
        <v>1</v>
      </c>
      <c r="I722" s="4">
        <f t="shared" si="771"/>
        <v>3023</v>
      </c>
      <c r="J722" s="13">
        <f>ROUND(VLOOKUP(D722,[1]物品容器!$T$3:$U$8,2,FALSE)*M722,0)</f>
        <v>3023</v>
      </c>
      <c r="K722" s="18">
        <f t="shared" si="772"/>
        <v>3023</v>
      </c>
      <c r="L722" s="18">
        <f t="shared" ref="L722:O722" si="791">ROUND($I722*L$2,0)</f>
        <v>1814</v>
      </c>
      <c r="M722" s="7">
        <v>1.0076</v>
      </c>
      <c r="N722" s="18">
        <f t="shared" si="791"/>
        <v>453</v>
      </c>
      <c r="O722" s="18">
        <f t="shared" si="791"/>
        <v>45345</v>
      </c>
      <c r="P722" s="18">
        <f t="shared" si="774"/>
        <v>27.21</v>
      </c>
      <c r="Q722" s="18">
        <f t="shared" si="775"/>
        <v>151</v>
      </c>
      <c r="R722" s="42" t="s">
        <v>1369</v>
      </c>
      <c r="S722" s="4" t="e">
        <f t="shared" si="776"/>
        <v>#N/A</v>
      </c>
      <c r="W722" s="4"/>
      <c r="X722" s="4"/>
      <c r="AD722" s="4"/>
      <c r="AE722" s="4"/>
    </row>
    <row r="723" s="2" customFormat="1" spans="1:31">
      <c r="A723" s="4">
        <v>721</v>
      </c>
      <c r="B723" s="5" t="s">
        <v>1370</v>
      </c>
      <c r="C723" s="4" t="s">
        <v>1195</v>
      </c>
      <c r="D723" s="26" t="s">
        <v>94</v>
      </c>
      <c r="E723" s="4">
        <v>127</v>
      </c>
      <c r="F723" s="5">
        <v>1</v>
      </c>
      <c r="G723" s="5">
        <v>1</v>
      </c>
      <c r="H723" s="6">
        <f t="shared" si="770"/>
        <v>1</v>
      </c>
      <c r="I723" s="4">
        <f t="shared" si="771"/>
        <v>3007</v>
      </c>
      <c r="J723" s="13">
        <f>ROUND(VLOOKUP(D723,[1]物品容器!$T$3:$U$8,2,FALSE)*M723,0)</f>
        <v>3007</v>
      </c>
      <c r="K723" s="18">
        <f t="shared" si="772"/>
        <v>3007</v>
      </c>
      <c r="L723" s="18">
        <f t="shared" ref="L723:O723" si="792">ROUND($I723*L$2,0)</f>
        <v>1804</v>
      </c>
      <c r="M723" s="7">
        <v>1.0022</v>
      </c>
      <c r="N723" s="18">
        <f t="shared" si="792"/>
        <v>451</v>
      </c>
      <c r="O723" s="18">
        <f t="shared" si="792"/>
        <v>45105</v>
      </c>
      <c r="P723" s="18">
        <f t="shared" si="774"/>
        <v>27.06</v>
      </c>
      <c r="Q723" s="18">
        <f t="shared" si="775"/>
        <v>150</v>
      </c>
      <c r="R723" s="42" t="s">
        <v>1370</v>
      </c>
      <c r="S723" s="4" t="e">
        <f t="shared" si="776"/>
        <v>#N/A</v>
      </c>
      <c r="W723" s="4"/>
      <c r="X723" s="4"/>
      <c r="AD723" s="4"/>
      <c r="AE723" s="4"/>
    </row>
    <row r="724" s="2" customFormat="1" spans="1:31">
      <c r="A724" s="4">
        <v>722</v>
      </c>
      <c r="B724" s="5" t="s">
        <v>1371</v>
      </c>
      <c r="C724" s="4" t="s">
        <v>1195</v>
      </c>
      <c r="D724" s="26" t="s">
        <v>94</v>
      </c>
      <c r="E724" s="4">
        <v>128</v>
      </c>
      <c r="F724" s="5">
        <v>1</v>
      </c>
      <c r="G724" s="5">
        <v>1</v>
      </c>
      <c r="H724" s="6">
        <f t="shared" si="770"/>
        <v>1</v>
      </c>
      <c r="I724" s="4">
        <f t="shared" si="771"/>
        <v>2971</v>
      </c>
      <c r="J724" s="13">
        <f>ROUND(VLOOKUP(D724,[1]物品容器!$T$3:$U$8,2,FALSE)*M724,0)</f>
        <v>2971</v>
      </c>
      <c r="K724" s="18">
        <f t="shared" si="772"/>
        <v>2971</v>
      </c>
      <c r="L724" s="18">
        <f t="shared" ref="L724:O724" si="793">ROUND($I724*L$2,0)</f>
        <v>1783</v>
      </c>
      <c r="M724" s="7">
        <v>0.9904</v>
      </c>
      <c r="N724" s="18">
        <f t="shared" si="793"/>
        <v>446</v>
      </c>
      <c r="O724" s="18">
        <f t="shared" si="793"/>
        <v>44565</v>
      </c>
      <c r="P724" s="18">
        <f t="shared" si="774"/>
        <v>26.745</v>
      </c>
      <c r="Q724" s="18">
        <f t="shared" si="775"/>
        <v>148</v>
      </c>
      <c r="R724" s="42" t="s">
        <v>1371</v>
      </c>
      <c r="S724" s="4" t="e">
        <f t="shared" si="776"/>
        <v>#N/A</v>
      </c>
      <c r="W724" s="4"/>
      <c r="X724" s="4"/>
      <c r="AD724" s="4"/>
      <c r="AE724" s="4"/>
    </row>
    <row r="725" s="2" customFormat="1" spans="1:31">
      <c r="A725" s="4">
        <v>723</v>
      </c>
      <c r="B725" s="5" t="s">
        <v>1372</v>
      </c>
      <c r="C725" s="4" t="s">
        <v>1195</v>
      </c>
      <c r="D725" s="26" t="s">
        <v>94</v>
      </c>
      <c r="E725" s="4">
        <v>129</v>
      </c>
      <c r="F725" s="5">
        <v>1</v>
      </c>
      <c r="G725" s="5">
        <v>1</v>
      </c>
      <c r="H725" s="6">
        <f t="shared" si="770"/>
        <v>1</v>
      </c>
      <c r="I725" s="4">
        <f t="shared" si="771"/>
        <v>2992</v>
      </c>
      <c r="J725" s="13">
        <f>ROUND(VLOOKUP(D725,[1]物品容器!$T$3:$U$8,2,FALSE)*M725,0)</f>
        <v>2992</v>
      </c>
      <c r="K725" s="18">
        <f t="shared" si="772"/>
        <v>2992</v>
      </c>
      <c r="L725" s="18">
        <f t="shared" ref="L725:O725" si="794">ROUND($I725*L$2,0)</f>
        <v>1795</v>
      </c>
      <c r="M725" s="7">
        <v>0.9974</v>
      </c>
      <c r="N725" s="18">
        <f t="shared" si="794"/>
        <v>449</v>
      </c>
      <c r="O725" s="18">
        <f t="shared" si="794"/>
        <v>44880</v>
      </c>
      <c r="P725" s="18">
        <f t="shared" si="774"/>
        <v>26.925</v>
      </c>
      <c r="Q725" s="18">
        <f t="shared" si="775"/>
        <v>149</v>
      </c>
      <c r="R725" s="42" t="s">
        <v>1372</v>
      </c>
      <c r="S725" s="4" t="e">
        <f t="shared" si="776"/>
        <v>#N/A</v>
      </c>
      <c r="W725" s="4"/>
      <c r="X725" s="4"/>
      <c r="AD725" s="4"/>
      <c r="AE725" s="4"/>
    </row>
    <row r="726" s="2" customFormat="1" spans="1:31">
      <c r="A726" s="4">
        <v>724</v>
      </c>
      <c r="B726" s="5" t="s">
        <v>1373</v>
      </c>
      <c r="C726" s="4" t="s">
        <v>1195</v>
      </c>
      <c r="D726" s="26" t="s">
        <v>94</v>
      </c>
      <c r="E726" s="4">
        <v>130</v>
      </c>
      <c r="F726" s="5">
        <v>1</v>
      </c>
      <c r="G726" s="5">
        <v>1</v>
      </c>
      <c r="H726" s="6">
        <f t="shared" si="770"/>
        <v>1</v>
      </c>
      <c r="I726" s="4">
        <f t="shared" si="771"/>
        <v>3014</v>
      </c>
      <c r="J726" s="13">
        <f>ROUND(VLOOKUP(D726,[1]物品容器!$T$3:$U$8,2,FALSE)*M726,0)</f>
        <v>3014</v>
      </c>
      <c r="K726" s="18">
        <f t="shared" si="772"/>
        <v>3014</v>
      </c>
      <c r="L726" s="18">
        <f t="shared" ref="L726:O726" si="795">ROUND($I726*L$2,0)</f>
        <v>1808</v>
      </c>
      <c r="M726" s="7">
        <v>1.0045</v>
      </c>
      <c r="N726" s="18">
        <f t="shared" si="795"/>
        <v>452</v>
      </c>
      <c r="O726" s="18">
        <f t="shared" si="795"/>
        <v>45210</v>
      </c>
      <c r="P726" s="18">
        <f t="shared" si="774"/>
        <v>27.12</v>
      </c>
      <c r="Q726" s="18">
        <f t="shared" si="775"/>
        <v>150</v>
      </c>
      <c r="R726" s="42" t="s">
        <v>1373</v>
      </c>
      <c r="S726" s="4" t="e">
        <f t="shared" si="776"/>
        <v>#N/A</v>
      </c>
      <c r="W726" s="4"/>
      <c r="X726" s="4"/>
      <c r="AD726" s="4"/>
      <c r="AE726" s="4"/>
    </row>
    <row r="727" s="2" customFormat="1" spans="1:31">
      <c r="A727" s="4">
        <v>725</v>
      </c>
      <c r="B727" s="5" t="s">
        <v>1374</v>
      </c>
      <c r="C727" s="4" t="s">
        <v>1195</v>
      </c>
      <c r="D727" s="26" t="s">
        <v>94</v>
      </c>
      <c r="E727" s="4">
        <v>131</v>
      </c>
      <c r="F727" s="5">
        <v>1</v>
      </c>
      <c r="G727" s="5">
        <v>1</v>
      </c>
      <c r="H727" s="6">
        <f t="shared" si="770"/>
        <v>1</v>
      </c>
      <c r="I727" s="4">
        <f t="shared" si="771"/>
        <v>2975</v>
      </c>
      <c r="J727" s="13">
        <f>ROUND(VLOOKUP(D727,[1]物品容器!$T$3:$U$8,2,FALSE)*M727,0)</f>
        <v>2975</v>
      </c>
      <c r="K727" s="18">
        <f t="shared" si="772"/>
        <v>2975</v>
      </c>
      <c r="L727" s="18">
        <f t="shared" ref="L727:O727" si="796">ROUND($I727*L$2,0)</f>
        <v>1785</v>
      </c>
      <c r="M727" s="7">
        <v>0.9917</v>
      </c>
      <c r="N727" s="18">
        <f t="shared" si="796"/>
        <v>446</v>
      </c>
      <c r="O727" s="18">
        <f t="shared" si="796"/>
        <v>44625</v>
      </c>
      <c r="P727" s="18">
        <f t="shared" si="774"/>
        <v>26.775</v>
      </c>
      <c r="Q727" s="18">
        <f t="shared" si="775"/>
        <v>148</v>
      </c>
      <c r="R727" s="42" t="s">
        <v>1374</v>
      </c>
      <c r="S727" s="4" t="e">
        <f t="shared" si="776"/>
        <v>#N/A</v>
      </c>
      <c r="W727" s="4"/>
      <c r="X727" s="4"/>
      <c r="AD727" s="4"/>
      <c r="AE727" s="4"/>
    </row>
    <row r="728" s="2" customFormat="1" spans="1:31">
      <c r="A728" s="4">
        <v>726</v>
      </c>
      <c r="B728" s="5" t="s">
        <v>1375</v>
      </c>
      <c r="C728" s="4" t="s">
        <v>1195</v>
      </c>
      <c r="D728" s="26" t="s">
        <v>94</v>
      </c>
      <c r="E728" s="4">
        <v>132</v>
      </c>
      <c r="F728" s="5">
        <v>1</v>
      </c>
      <c r="G728" s="5">
        <v>1</v>
      </c>
      <c r="H728" s="6">
        <f t="shared" si="770"/>
        <v>1</v>
      </c>
      <c r="I728" s="4">
        <f t="shared" si="771"/>
        <v>3024</v>
      </c>
      <c r="J728" s="13">
        <f>ROUND(VLOOKUP(D728,[1]物品容器!$T$3:$U$8,2,FALSE)*M728,0)</f>
        <v>3024</v>
      </c>
      <c r="K728" s="18">
        <f t="shared" si="772"/>
        <v>3024</v>
      </c>
      <c r="L728" s="18">
        <f t="shared" ref="L728:O728" si="797">ROUND($I728*L$2,0)</f>
        <v>1814</v>
      </c>
      <c r="M728" s="7">
        <v>1.0079</v>
      </c>
      <c r="N728" s="18">
        <f t="shared" si="797"/>
        <v>454</v>
      </c>
      <c r="O728" s="18">
        <f t="shared" si="797"/>
        <v>45360</v>
      </c>
      <c r="P728" s="18">
        <f t="shared" si="774"/>
        <v>27.21</v>
      </c>
      <c r="Q728" s="18">
        <f t="shared" si="775"/>
        <v>151</v>
      </c>
      <c r="R728" s="42" t="s">
        <v>1375</v>
      </c>
      <c r="S728" s="4" t="e">
        <f t="shared" si="776"/>
        <v>#N/A</v>
      </c>
      <c r="W728" s="4"/>
      <c r="X728" s="4"/>
      <c r="AD728" s="4"/>
      <c r="AE728" s="4"/>
    </row>
    <row r="729" s="2" customFormat="1" spans="1:31">
      <c r="A729" s="4">
        <v>727</v>
      </c>
      <c r="B729" s="5" t="s">
        <v>1376</v>
      </c>
      <c r="C729" s="4" t="s">
        <v>1377</v>
      </c>
      <c r="D729" s="24" t="s">
        <v>63</v>
      </c>
      <c r="E729" s="4">
        <v>1</v>
      </c>
      <c r="F729" s="5">
        <v>1</v>
      </c>
      <c r="G729" s="5">
        <v>1</v>
      </c>
      <c r="H729" s="6">
        <f t="shared" si="770"/>
        <v>1</v>
      </c>
      <c r="I729" s="4">
        <f t="shared" si="771"/>
        <v>30222</v>
      </c>
      <c r="J729" s="13">
        <f>ROUND(VLOOKUP(D729,[1]物品容器!$T$3:$U$8,2,FALSE)*M729,0)</f>
        <v>30222</v>
      </c>
      <c r="K729" s="18">
        <f t="shared" si="772"/>
        <v>30222</v>
      </c>
      <c r="L729" s="18">
        <f t="shared" ref="L729:O729" si="798">ROUND($I729*L$2,0)</f>
        <v>18133</v>
      </c>
      <c r="M729" s="7">
        <v>1.0074</v>
      </c>
      <c r="N729" s="18">
        <f t="shared" si="798"/>
        <v>4533</v>
      </c>
      <c r="O729" s="18">
        <f t="shared" si="798"/>
        <v>453330</v>
      </c>
      <c r="P729" s="18">
        <f t="shared" si="774"/>
        <v>271.995</v>
      </c>
      <c r="Q729" s="18">
        <f t="shared" si="775"/>
        <v>1506</v>
      </c>
      <c r="R729" s="42" t="s">
        <v>1376</v>
      </c>
      <c r="S729" s="4" t="e">
        <f t="shared" si="776"/>
        <v>#N/A</v>
      </c>
      <c r="W729" s="4"/>
      <c r="X729" s="4"/>
      <c r="AD729" s="4"/>
      <c r="AE729" s="4"/>
    </row>
    <row r="730" s="2" customFormat="1" spans="1:31">
      <c r="A730" s="4">
        <v>728</v>
      </c>
      <c r="B730" s="5" t="s">
        <v>1378</v>
      </c>
      <c r="C730" s="4" t="s">
        <v>1377</v>
      </c>
      <c r="D730" s="24" t="s">
        <v>63</v>
      </c>
      <c r="E730" s="4">
        <v>2</v>
      </c>
      <c r="F730" s="5">
        <v>1</v>
      </c>
      <c r="G730" s="5">
        <v>1</v>
      </c>
      <c r="H730" s="6">
        <f t="shared" si="770"/>
        <v>1</v>
      </c>
      <c r="I730" s="4">
        <f t="shared" si="771"/>
        <v>29952</v>
      </c>
      <c r="J730" s="13">
        <f>ROUND(VLOOKUP(D730,[1]物品容器!$T$3:$U$8,2,FALSE)*M730,0)</f>
        <v>29952</v>
      </c>
      <c r="K730" s="18">
        <f t="shared" si="772"/>
        <v>29952</v>
      </c>
      <c r="L730" s="18">
        <f t="shared" ref="L730:O730" si="799">ROUND($I730*L$2,0)</f>
        <v>17971</v>
      </c>
      <c r="M730" s="7">
        <v>0.9984</v>
      </c>
      <c r="N730" s="18">
        <f t="shared" si="799"/>
        <v>4493</v>
      </c>
      <c r="O730" s="18">
        <f t="shared" si="799"/>
        <v>449280</v>
      </c>
      <c r="P730" s="18">
        <f t="shared" si="774"/>
        <v>269.565</v>
      </c>
      <c r="Q730" s="18">
        <f t="shared" si="775"/>
        <v>1492</v>
      </c>
      <c r="R730" s="42" t="s">
        <v>1378</v>
      </c>
      <c r="S730" s="4" t="e">
        <f t="shared" si="776"/>
        <v>#N/A</v>
      </c>
      <c r="W730" s="4"/>
      <c r="X730" s="4"/>
      <c r="AD730" s="4"/>
      <c r="AE730" s="4"/>
    </row>
    <row r="731" s="2" customFormat="1" spans="1:31">
      <c r="A731" s="4">
        <v>729</v>
      </c>
      <c r="B731" s="5" t="s">
        <v>1379</v>
      </c>
      <c r="C731" s="4" t="s">
        <v>1377</v>
      </c>
      <c r="D731" s="24" t="s">
        <v>63</v>
      </c>
      <c r="E731" s="4">
        <v>3</v>
      </c>
      <c r="F731" s="5">
        <v>1</v>
      </c>
      <c r="G731" s="5">
        <v>1</v>
      </c>
      <c r="H731" s="6">
        <f t="shared" si="770"/>
        <v>1</v>
      </c>
      <c r="I731" s="4">
        <f t="shared" si="771"/>
        <v>30018</v>
      </c>
      <c r="J731" s="13">
        <f>ROUND(VLOOKUP(D731,[1]物品容器!$T$3:$U$8,2,FALSE)*M731,0)</f>
        <v>30018</v>
      </c>
      <c r="K731" s="18">
        <f t="shared" si="772"/>
        <v>30018</v>
      </c>
      <c r="L731" s="18">
        <f t="shared" ref="L731:O731" si="800">ROUND($I731*L$2,0)</f>
        <v>18011</v>
      </c>
      <c r="M731" s="7">
        <v>1.0006</v>
      </c>
      <c r="N731" s="18">
        <f t="shared" si="800"/>
        <v>4503</v>
      </c>
      <c r="O731" s="18">
        <f t="shared" si="800"/>
        <v>450270</v>
      </c>
      <c r="P731" s="18">
        <f t="shared" si="774"/>
        <v>270.165</v>
      </c>
      <c r="Q731" s="18">
        <f t="shared" si="775"/>
        <v>1496</v>
      </c>
      <c r="R731" s="42" t="s">
        <v>1379</v>
      </c>
      <c r="S731" s="4" t="e">
        <f t="shared" si="776"/>
        <v>#N/A</v>
      </c>
      <c r="W731" s="4"/>
      <c r="X731" s="4"/>
      <c r="AD731" s="4"/>
      <c r="AE731" s="4"/>
    </row>
    <row r="732" s="2" customFormat="1" spans="1:31">
      <c r="A732" s="4">
        <v>730</v>
      </c>
      <c r="B732" s="5" t="s">
        <v>1380</v>
      </c>
      <c r="C732" s="4" t="s">
        <v>1377</v>
      </c>
      <c r="D732" s="24" t="s">
        <v>63</v>
      </c>
      <c r="E732" s="4">
        <v>4</v>
      </c>
      <c r="F732" s="5">
        <v>1</v>
      </c>
      <c r="G732" s="5">
        <v>1</v>
      </c>
      <c r="H732" s="6">
        <f t="shared" si="770"/>
        <v>1</v>
      </c>
      <c r="I732" s="4">
        <f t="shared" si="771"/>
        <v>29856</v>
      </c>
      <c r="J732" s="13">
        <f>ROUND(VLOOKUP(D732,[1]物品容器!$T$3:$U$8,2,FALSE)*M732,0)</f>
        <v>29856</v>
      </c>
      <c r="K732" s="18">
        <f t="shared" si="772"/>
        <v>29856</v>
      </c>
      <c r="L732" s="18">
        <f t="shared" ref="L732:O732" si="801">ROUND($I732*L$2,0)</f>
        <v>17914</v>
      </c>
      <c r="M732" s="7">
        <v>0.9952</v>
      </c>
      <c r="N732" s="18">
        <f t="shared" si="801"/>
        <v>4478</v>
      </c>
      <c r="O732" s="18">
        <f t="shared" si="801"/>
        <v>447840</v>
      </c>
      <c r="P732" s="18">
        <f t="shared" si="774"/>
        <v>268.71</v>
      </c>
      <c r="Q732" s="18">
        <f t="shared" si="775"/>
        <v>1488</v>
      </c>
      <c r="R732" s="42" t="s">
        <v>1380</v>
      </c>
      <c r="S732" s="4" t="e">
        <f t="shared" si="776"/>
        <v>#N/A</v>
      </c>
      <c r="W732" s="4"/>
      <c r="X732" s="4"/>
      <c r="AD732" s="4"/>
      <c r="AE732" s="4"/>
    </row>
    <row r="733" s="2" customFormat="1" spans="1:31">
      <c r="A733" s="4">
        <v>731</v>
      </c>
      <c r="B733" s="5" t="s">
        <v>1381</v>
      </c>
      <c r="C733" s="4" t="s">
        <v>1377</v>
      </c>
      <c r="D733" s="24" t="s">
        <v>63</v>
      </c>
      <c r="E733" s="4">
        <v>5</v>
      </c>
      <c r="F733" s="5">
        <v>1</v>
      </c>
      <c r="G733" s="5">
        <v>1</v>
      </c>
      <c r="H733" s="6">
        <f t="shared" si="770"/>
        <v>1</v>
      </c>
      <c r="I733" s="4">
        <f t="shared" si="771"/>
        <v>30141</v>
      </c>
      <c r="J733" s="13">
        <f>ROUND(VLOOKUP(D733,[1]物品容器!$T$3:$U$8,2,FALSE)*M733,0)</f>
        <v>30141</v>
      </c>
      <c r="K733" s="18">
        <f t="shared" si="772"/>
        <v>30141</v>
      </c>
      <c r="L733" s="18">
        <f t="shared" ref="L733:O733" si="802">ROUND($I733*L$2,0)</f>
        <v>18085</v>
      </c>
      <c r="M733" s="7">
        <v>1.0047</v>
      </c>
      <c r="N733" s="18">
        <f t="shared" si="802"/>
        <v>4521</v>
      </c>
      <c r="O733" s="18">
        <f t="shared" si="802"/>
        <v>452115</v>
      </c>
      <c r="P733" s="18">
        <f t="shared" si="774"/>
        <v>271.275</v>
      </c>
      <c r="Q733" s="18">
        <f t="shared" si="775"/>
        <v>1502</v>
      </c>
      <c r="R733" s="42" t="s">
        <v>1381</v>
      </c>
      <c r="S733" s="4" t="e">
        <f t="shared" si="776"/>
        <v>#N/A</v>
      </c>
      <c r="W733" s="4"/>
      <c r="X733" s="4"/>
      <c r="AD733" s="4"/>
      <c r="AE733" s="4"/>
    </row>
    <row r="734" s="2" customFormat="1" spans="1:31">
      <c r="A734" s="4">
        <v>732</v>
      </c>
      <c r="B734" s="5" t="s">
        <v>1382</v>
      </c>
      <c r="C734" s="4" t="s">
        <v>1377</v>
      </c>
      <c r="D734" s="40" t="s">
        <v>41</v>
      </c>
      <c r="E734" s="4">
        <v>6</v>
      </c>
      <c r="F734" s="5">
        <v>1</v>
      </c>
      <c r="G734" s="5">
        <v>1</v>
      </c>
      <c r="H734" s="6">
        <f t="shared" si="770"/>
        <v>1</v>
      </c>
      <c r="I734" s="4">
        <f t="shared" si="771"/>
        <v>100520</v>
      </c>
      <c r="J734" s="13">
        <f>ROUND(VLOOKUP(D734,[1]物品容器!$T$3:$U$8,2,FALSE)*M734,0)</f>
        <v>100520</v>
      </c>
      <c r="K734" s="18">
        <f t="shared" si="772"/>
        <v>100520</v>
      </c>
      <c r="L734" s="18">
        <f t="shared" ref="L734:O734" si="803">ROUND($I734*L$2,0)</f>
        <v>60312</v>
      </c>
      <c r="M734" s="7">
        <v>1.0052</v>
      </c>
      <c r="N734" s="18">
        <f t="shared" si="803"/>
        <v>15078</v>
      </c>
      <c r="O734" s="18">
        <f t="shared" si="803"/>
        <v>1507800</v>
      </c>
      <c r="P734" s="18">
        <f t="shared" si="774"/>
        <v>904.68</v>
      </c>
      <c r="Q734" s="18">
        <f t="shared" si="775"/>
        <v>5009</v>
      </c>
      <c r="R734" s="42" t="s">
        <v>1382</v>
      </c>
      <c r="S734" s="4" t="e">
        <f t="shared" si="776"/>
        <v>#N/A</v>
      </c>
      <c r="W734" s="4"/>
      <c r="X734" s="4"/>
      <c r="AD734" s="4"/>
      <c r="AE734" s="4"/>
    </row>
    <row r="735" s="2" customFormat="1" spans="1:31">
      <c r="A735" s="4">
        <v>733</v>
      </c>
      <c r="B735" s="5" t="s">
        <v>1383</v>
      </c>
      <c r="C735" s="4" t="s">
        <v>1377</v>
      </c>
      <c r="D735" s="40" t="s">
        <v>41</v>
      </c>
      <c r="E735" s="4">
        <v>7</v>
      </c>
      <c r="F735" s="5">
        <v>1</v>
      </c>
      <c r="G735" s="5">
        <v>1</v>
      </c>
      <c r="H735" s="6">
        <f t="shared" si="770"/>
        <v>1</v>
      </c>
      <c r="I735" s="4">
        <f t="shared" si="771"/>
        <v>99330</v>
      </c>
      <c r="J735" s="13">
        <f>ROUND(VLOOKUP(D735,[1]物品容器!$T$3:$U$8,2,FALSE)*M735,0)</f>
        <v>99330</v>
      </c>
      <c r="K735" s="18">
        <f t="shared" si="772"/>
        <v>99330</v>
      </c>
      <c r="L735" s="18">
        <f t="shared" ref="L735:O735" si="804">ROUND($I735*L$2,0)</f>
        <v>59598</v>
      </c>
      <c r="M735" s="7">
        <v>0.9933</v>
      </c>
      <c r="N735" s="18">
        <f t="shared" si="804"/>
        <v>14900</v>
      </c>
      <c r="O735" s="18">
        <f t="shared" si="804"/>
        <v>1489950</v>
      </c>
      <c r="P735" s="18">
        <f t="shared" si="774"/>
        <v>893.97</v>
      </c>
      <c r="Q735" s="18">
        <f t="shared" si="775"/>
        <v>4950</v>
      </c>
      <c r="R735" s="42" t="s">
        <v>1383</v>
      </c>
      <c r="S735" s="4" t="e">
        <f t="shared" si="776"/>
        <v>#N/A</v>
      </c>
      <c r="W735" s="4"/>
      <c r="X735" s="4"/>
      <c r="AD735" s="4"/>
      <c r="AE735" s="4"/>
    </row>
    <row r="736" s="2" customFormat="1" spans="1:31">
      <c r="A736" s="4">
        <v>734</v>
      </c>
      <c r="B736" s="5" t="s">
        <v>1384</v>
      </c>
      <c r="C736" s="4" t="s">
        <v>1377</v>
      </c>
      <c r="D736" s="40" t="s">
        <v>41</v>
      </c>
      <c r="E736" s="4">
        <v>8</v>
      </c>
      <c r="F736" s="5">
        <v>1</v>
      </c>
      <c r="G736" s="5">
        <v>1</v>
      </c>
      <c r="H736" s="6">
        <f t="shared" si="770"/>
        <v>1</v>
      </c>
      <c r="I736" s="4">
        <f t="shared" si="771"/>
        <v>100850</v>
      </c>
      <c r="J736" s="13">
        <f>ROUND(VLOOKUP(D736,[1]物品容器!$T$3:$U$8,2,FALSE)*M736,0)</f>
        <v>100850</v>
      </c>
      <c r="K736" s="18">
        <f t="shared" si="772"/>
        <v>100850</v>
      </c>
      <c r="L736" s="18">
        <f t="shared" ref="L736:O736" si="805">ROUND($I736*L$2,0)</f>
        <v>60510</v>
      </c>
      <c r="M736" s="7">
        <v>1.0085</v>
      </c>
      <c r="N736" s="18">
        <f t="shared" si="805"/>
        <v>15128</v>
      </c>
      <c r="O736" s="18">
        <f t="shared" si="805"/>
        <v>1512750</v>
      </c>
      <c r="P736" s="18">
        <f t="shared" si="774"/>
        <v>907.65</v>
      </c>
      <c r="Q736" s="18">
        <f t="shared" si="775"/>
        <v>5025</v>
      </c>
      <c r="R736" s="42" t="s">
        <v>1384</v>
      </c>
      <c r="S736" s="4" t="e">
        <f t="shared" si="776"/>
        <v>#N/A</v>
      </c>
      <c r="W736" s="4"/>
      <c r="X736" s="4"/>
      <c r="AD736" s="4"/>
      <c r="AE736" s="4"/>
    </row>
    <row r="737" s="2" customFormat="1" spans="1:31">
      <c r="A737" s="4">
        <v>735</v>
      </c>
      <c r="B737" s="5" t="s">
        <v>1385</v>
      </c>
      <c r="C737" s="4" t="s">
        <v>1377</v>
      </c>
      <c r="D737" s="40" t="s">
        <v>41</v>
      </c>
      <c r="E737" s="4">
        <v>9</v>
      </c>
      <c r="F737" s="5">
        <v>1</v>
      </c>
      <c r="G737" s="5">
        <v>1</v>
      </c>
      <c r="H737" s="6">
        <f t="shared" si="770"/>
        <v>1</v>
      </c>
      <c r="I737" s="4">
        <f t="shared" si="771"/>
        <v>100850</v>
      </c>
      <c r="J737" s="13">
        <f>ROUND(VLOOKUP(D737,[1]物品容器!$T$3:$U$8,2,FALSE)*M737,0)</f>
        <v>100850</v>
      </c>
      <c r="K737" s="18">
        <f t="shared" si="772"/>
        <v>100850</v>
      </c>
      <c r="L737" s="18">
        <f t="shared" ref="L737:O737" si="806">ROUND($I737*L$2,0)</f>
        <v>60510</v>
      </c>
      <c r="M737" s="7">
        <v>1.0085</v>
      </c>
      <c r="N737" s="18">
        <f t="shared" si="806"/>
        <v>15128</v>
      </c>
      <c r="O737" s="18">
        <f t="shared" si="806"/>
        <v>1512750</v>
      </c>
      <c r="P737" s="18">
        <f t="shared" si="774"/>
        <v>907.65</v>
      </c>
      <c r="Q737" s="18">
        <f t="shared" si="775"/>
        <v>5025</v>
      </c>
      <c r="R737" s="42" t="s">
        <v>1385</v>
      </c>
      <c r="S737" s="4" t="e">
        <f t="shared" si="776"/>
        <v>#N/A</v>
      </c>
      <c r="W737" s="4"/>
      <c r="X737" s="4"/>
      <c r="AD737" s="4"/>
      <c r="AE737" s="4"/>
    </row>
    <row r="738" s="2" customFormat="1" spans="1:31">
      <c r="A738" s="4">
        <v>736</v>
      </c>
      <c r="B738" s="5" t="s">
        <v>1386</v>
      </c>
      <c r="C738" s="4" t="s">
        <v>1377</v>
      </c>
      <c r="D738" s="40" t="s">
        <v>41</v>
      </c>
      <c r="E738" s="4">
        <v>10</v>
      </c>
      <c r="F738" s="5">
        <v>1</v>
      </c>
      <c r="G738" s="5">
        <v>1</v>
      </c>
      <c r="H738" s="6">
        <f t="shared" si="770"/>
        <v>1</v>
      </c>
      <c r="I738" s="4">
        <f t="shared" si="771"/>
        <v>100660</v>
      </c>
      <c r="J738" s="13">
        <f>ROUND(VLOOKUP(D738,[1]物品容器!$T$3:$U$8,2,FALSE)*M738,0)</f>
        <v>100660</v>
      </c>
      <c r="K738" s="18">
        <f t="shared" si="772"/>
        <v>100660</v>
      </c>
      <c r="L738" s="18">
        <f t="shared" ref="L738:O738" si="807">ROUND($I738*L$2,0)</f>
        <v>60396</v>
      </c>
      <c r="M738" s="7">
        <v>1.0066</v>
      </c>
      <c r="N738" s="18">
        <f t="shared" si="807"/>
        <v>15099</v>
      </c>
      <c r="O738" s="18">
        <f t="shared" si="807"/>
        <v>1509900</v>
      </c>
      <c r="P738" s="18">
        <f t="shared" si="774"/>
        <v>905.94</v>
      </c>
      <c r="Q738" s="18">
        <f t="shared" si="775"/>
        <v>5016</v>
      </c>
      <c r="R738" s="42" t="s">
        <v>1386</v>
      </c>
      <c r="S738" s="4" t="e">
        <f t="shared" si="776"/>
        <v>#N/A</v>
      </c>
      <c r="W738" s="4"/>
      <c r="X738" s="4"/>
      <c r="AD738" s="4"/>
      <c r="AE738" s="4"/>
    </row>
    <row r="739" s="2" customFormat="1" spans="1:31">
      <c r="A739" s="4">
        <v>737</v>
      </c>
      <c r="B739" s="5" t="s">
        <v>1387</v>
      </c>
      <c r="C739" s="4" t="s">
        <v>1377</v>
      </c>
      <c r="D739" s="17" t="s">
        <v>26</v>
      </c>
      <c r="E739" s="4">
        <v>11</v>
      </c>
      <c r="F739" s="5">
        <v>1</v>
      </c>
      <c r="G739" s="5">
        <v>1</v>
      </c>
      <c r="H739" s="6">
        <f t="shared" si="770"/>
        <v>1</v>
      </c>
      <c r="I739" s="4">
        <f t="shared" si="771"/>
        <v>297810</v>
      </c>
      <c r="J739" s="13">
        <f>ROUND(VLOOKUP(D739,[1]物品容器!$T$3:$U$8,2,FALSE)*M739,0)</f>
        <v>297810</v>
      </c>
      <c r="K739" s="18">
        <f t="shared" si="772"/>
        <v>297810</v>
      </c>
      <c r="L739" s="18">
        <f t="shared" ref="L739:O739" si="808">ROUND($I739*L$2,0)</f>
        <v>178686</v>
      </c>
      <c r="M739" s="7">
        <v>0.9927</v>
      </c>
      <c r="N739" s="18">
        <f t="shared" si="808"/>
        <v>44672</v>
      </c>
      <c r="O739" s="18">
        <f t="shared" si="808"/>
        <v>4467150</v>
      </c>
      <c r="P739" s="18">
        <f t="shared" si="774"/>
        <v>2680.29</v>
      </c>
      <c r="Q739" s="18">
        <f t="shared" si="775"/>
        <v>14840</v>
      </c>
      <c r="R739" s="42" t="s">
        <v>1387</v>
      </c>
      <c r="S739" s="4" t="e">
        <f t="shared" si="776"/>
        <v>#N/A</v>
      </c>
      <c r="W739" s="4"/>
      <c r="X739" s="4"/>
      <c r="AD739" s="4"/>
      <c r="AE739" s="4"/>
    </row>
    <row r="740" s="2" customFormat="1" spans="1:31">
      <c r="A740" s="4">
        <v>738</v>
      </c>
      <c r="B740" s="5" t="s">
        <v>1388</v>
      </c>
      <c r="C740" s="4" t="s">
        <v>1377</v>
      </c>
      <c r="D740" s="17" t="s">
        <v>26</v>
      </c>
      <c r="E740" s="4">
        <v>12</v>
      </c>
      <c r="F740" s="5">
        <v>1</v>
      </c>
      <c r="G740" s="5">
        <v>1</v>
      </c>
      <c r="H740" s="6">
        <f t="shared" si="770"/>
        <v>1</v>
      </c>
      <c r="I740" s="4">
        <f t="shared" si="771"/>
        <v>302700</v>
      </c>
      <c r="J740" s="13">
        <f>ROUND(VLOOKUP(D740,[1]物品容器!$T$3:$U$8,2,FALSE)*M740,0)</f>
        <v>302700</v>
      </c>
      <c r="K740" s="18">
        <f t="shared" si="772"/>
        <v>302700</v>
      </c>
      <c r="L740" s="18">
        <f t="shared" ref="L740:O740" si="809">ROUND($I740*L$2,0)</f>
        <v>181620</v>
      </c>
      <c r="M740" s="7">
        <v>1.009</v>
      </c>
      <c r="N740" s="18">
        <f t="shared" si="809"/>
        <v>45405</v>
      </c>
      <c r="O740" s="18">
        <f t="shared" si="809"/>
        <v>4540500</v>
      </c>
      <c r="P740" s="18">
        <f t="shared" si="774"/>
        <v>2724.3</v>
      </c>
      <c r="Q740" s="18">
        <f t="shared" si="775"/>
        <v>15083</v>
      </c>
      <c r="R740" s="42" t="s">
        <v>1388</v>
      </c>
      <c r="S740" s="4" t="e">
        <f t="shared" si="776"/>
        <v>#N/A</v>
      </c>
      <c r="W740" s="4"/>
      <c r="X740" s="4"/>
      <c r="AD740" s="4"/>
      <c r="AE740" s="4"/>
    </row>
    <row r="741" s="2" customFormat="1" spans="1:31">
      <c r="A741" s="4">
        <v>739</v>
      </c>
      <c r="B741" s="5" t="s">
        <v>1389</v>
      </c>
      <c r="C741" s="4" t="s">
        <v>1377</v>
      </c>
      <c r="D741" s="17" t="s">
        <v>26</v>
      </c>
      <c r="E741" s="4">
        <v>13</v>
      </c>
      <c r="F741" s="5">
        <v>1</v>
      </c>
      <c r="G741" s="5">
        <v>1</v>
      </c>
      <c r="H741" s="6">
        <f t="shared" si="770"/>
        <v>1</v>
      </c>
      <c r="I741" s="4">
        <f t="shared" si="771"/>
        <v>301740</v>
      </c>
      <c r="J741" s="13">
        <f>ROUND(VLOOKUP(D741,[1]物品容器!$T$3:$U$8,2,FALSE)*M741,0)</f>
        <v>301740</v>
      </c>
      <c r="K741" s="18">
        <f t="shared" si="772"/>
        <v>301740</v>
      </c>
      <c r="L741" s="18">
        <f t="shared" ref="L741:O741" si="810">ROUND($I741*L$2,0)</f>
        <v>181044</v>
      </c>
      <c r="M741" s="7">
        <v>1.0058</v>
      </c>
      <c r="N741" s="18">
        <f t="shared" si="810"/>
        <v>45261</v>
      </c>
      <c r="O741" s="18">
        <f t="shared" si="810"/>
        <v>4526100</v>
      </c>
      <c r="P741" s="18">
        <f t="shared" si="774"/>
        <v>2715.66</v>
      </c>
      <c r="Q741" s="18">
        <f t="shared" si="775"/>
        <v>15035</v>
      </c>
      <c r="R741" s="42" t="s">
        <v>1389</v>
      </c>
      <c r="S741" s="4" t="e">
        <f t="shared" si="776"/>
        <v>#N/A</v>
      </c>
      <c r="W741" s="4"/>
      <c r="X741" s="4"/>
      <c r="AD741" s="4"/>
      <c r="AE741" s="4"/>
    </row>
    <row r="742" s="2" customFormat="1" spans="1:31">
      <c r="A742" s="4"/>
      <c r="B742" s="5"/>
      <c r="C742" s="4"/>
      <c r="D742" s="2"/>
      <c r="E742" s="2"/>
      <c r="F742" s="5"/>
      <c r="G742" s="5"/>
      <c r="H742" s="6"/>
      <c r="I742" s="4"/>
      <c r="J742" s="4"/>
      <c r="K742" s="4"/>
      <c r="L742" s="4"/>
      <c r="M742" s="7"/>
      <c r="N742" s="8"/>
      <c r="O742" s="8"/>
      <c r="P742" s="8"/>
      <c r="Q742" s="8"/>
      <c r="R742" s="2"/>
      <c r="S742" s="4"/>
      <c r="W742" s="4"/>
      <c r="X742" s="4"/>
      <c r="AD742" s="4"/>
      <c r="AE742" s="4"/>
    </row>
    <row r="746" s="2" customFormat="1" ht="16.5" spans="1:31">
      <c r="A746" s="4">
        <v>1</v>
      </c>
      <c r="B746" s="43" t="s">
        <v>1390</v>
      </c>
      <c r="C746" s="4"/>
      <c r="D746" s="4" t="s">
        <v>116</v>
      </c>
      <c r="E746" s="4">
        <v>1</v>
      </c>
      <c r="F746" s="5">
        <f>VLOOKUP(B746,[1]Sheet1!$B:$G,6,FALSE)</f>
        <v>1</v>
      </c>
      <c r="G746" s="5">
        <f>VLOOKUP(B746,[1]Sheet1!B:H,7,FALSE)</f>
        <v>1</v>
      </c>
      <c r="H746" s="6">
        <f t="shared" ref="H746:H772" si="811">VLOOKUP(F746*G746,$T$3:$U$11,2,FALSE)</f>
        <v>1</v>
      </c>
      <c r="I746" s="4">
        <f t="shared" ref="I746:I772" si="812">ROUND(F746*G746*J746*H746,0)</f>
        <v>996</v>
      </c>
      <c r="J746" s="13">
        <f>ROUND(VLOOKUP(D746,[1]物品容器!$T$3:$U$8,2,FALSE)*M746,0)</f>
        <v>996</v>
      </c>
      <c r="K746" s="18">
        <f t="shared" ref="K746:K772" si="813">ROUND(J746*H746,0)</f>
        <v>996</v>
      </c>
      <c r="L746" s="18">
        <f t="shared" ref="L746:O746" si="814">ROUND($I746*L$2,0)</f>
        <v>598</v>
      </c>
      <c r="M746" s="7">
        <v>0.9955</v>
      </c>
      <c r="N746" s="18">
        <f t="shared" si="814"/>
        <v>149</v>
      </c>
      <c r="O746" s="18">
        <f t="shared" si="814"/>
        <v>14940</v>
      </c>
      <c r="P746" s="18">
        <f t="shared" ref="P746:P772" si="815">L746*1.5%</f>
        <v>8.97</v>
      </c>
      <c r="Q746" s="18">
        <f t="shared" ref="Q746:Q772" si="816">ROUND((O746-N746)*$Q$2,0)</f>
        <v>50</v>
      </c>
      <c r="R746" s="44" t="s">
        <v>1390</v>
      </c>
      <c r="S746" s="4">
        <f>_xlfn.XLOOKUP(B746,[1]Sheet1!$B:$B,[1]Sheet1!$A:$A,,0,1)</f>
        <v>150000001</v>
      </c>
      <c r="W746" s="4"/>
      <c r="X746" s="4"/>
      <c r="AD746" s="4"/>
      <c r="AE746" s="4"/>
    </row>
    <row r="747" s="2" customFormat="1" ht="16.5" spans="1:31">
      <c r="A747" s="4">
        <v>2</v>
      </c>
      <c r="B747" s="43" t="s">
        <v>233</v>
      </c>
      <c r="C747" s="4"/>
      <c r="D747" s="4" t="s">
        <v>116</v>
      </c>
      <c r="E747" s="4">
        <v>2</v>
      </c>
      <c r="F747" s="5">
        <f>VLOOKUP(B747,[1]Sheet1!$B:$G,6,FALSE)</f>
        <v>1</v>
      </c>
      <c r="G747" s="5">
        <f>VLOOKUP(B747,[1]Sheet1!B:H,7,FALSE)</f>
        <v>1</v>
      </c>
      <c r="H747" s="6">
        <f t="shared" si="811"/>
        <v>1</v>
      </c>
      <c r="I747" s="4">
        <f t="shared" si="812"/>
        <v>998</v>
      </c>
      <c r="J747" s="13">
        <f>ROUND(VLOOKUP(D747,[1]物品容器!$T$3:$U$8,2,FALSE)*M747,0)</f>
        <v>998</v>
      </c>
      <c r="K747" s="18">
        <f t="shared" si="813"/>
        <v>998</v>
      </c>
      <c r="L747" s="18">
        <f t="shared" ref="L747:O747" si="817">ROUND($I747*L$2,0)</f>
        <v>599</v>
      </c>
      <c r="M747" s="7">
        <v>0.9981</v>
      </c>
      <c r="N747" s="18">
        <f t="shared" si="817"/>
        <v>150</v>
      </c>
      <c r="O747" s="18">
        <f t="shared" si="817"/>
        <v>14970</v>
      </c>
      <c r="P747" s="18">
        <f t="shared" si="815"/>
        <v>8.985</v>
      </c>
      <c r="Q747" s="18">
        <f t="shared" si="816"/>
        <v>50</v>
      </c>
      <c r="R747" s="44" t="s">
        <v>233</v>
      </c>
      <c r="S747" s="4">
        <f>_xlfn.XLOOKUP(B747,[1]Sheet1!$B:$B,[1]Sheet1!$A:$A,,0,1)</f>
        <v>151000001</v>
      </c>
      <c r="W747" s="4"/>
      <c r="X747" s="4"/>
      <c r="AD747" s="4"/>
      <c r="AE747" s="4"/>
    </row>
    <row r="748" s="2" customFormat="1" ht="16.5" spans="1:31">
      <c r="A748" s="4">
        <v>3</v>
      </c>
      <c r="B748" s="43" t="s">
        <v>242</v>
      </c>
      <c r="C748" s="4"/>
      <c r="D748" s="4" t="s">
        <v>116</v>
      </c>
      <c r="E748" s="4">
        <v>3</v>
      </c>
      <c r="F748" s="5">
        <f>VLOOKUP(B748,[1]Sheet1!$B:$G,6,FALSE)</f>
        <v>1</v>
      </c>
      <c r="G748" s="5">
        <f>VLOOKUP(B748,[1]Sheet1!B:H,7,FALSE)</f>
        <v>1</v>
      </c>
      <c r="H748" s="6">
        <f t="shared" si="811"/>
        <v>1</v>
      </c>
      <c r="I748" s="4">
        <f t="shared" si="812"/>
        <v>993</v>
      </c>
      <c r="J748" s="13">
        <f>ROUND(VLOOKUP(D748,[1]物品容器!$T$3:$U$8,2,FALSE)*M748,0)</f>
        <v>993</v>
      </c>
      <c r="K748" s="18">
        <f t="shared" si="813"/>
        <v>993</v>
      </c>
      <c r="L748" s="18">
        <f t="shared" ref="L748:O748" si="818">ROUND($I748*L$2,0)</f>
        <v>596</v>
      </c>
      <c r="M748" s="7">
        <v>0.9933</v>
      </c>
      <c r="N748" s="18">
        <f t="shared" si="818"/>
        <v>149</v>
      </c>
      <c r="O748" s="18">
        <f t="shared" si="818"/>
        <v>14895</v>
      </c>
      <c r="P748" s="18">
        <f t="shared" si="815"/>
        <v>8.94</v>
      </c>
      <c r="Q748" s="18">
        <f t="shared" si="816"/>
        <v>49</v>
      </c>
      <c r="R748" s="44" t="s">
        <v>242</v>
      </c>
      <c r="S748" s="4">
        <f>_xlfn.XLOOKUP(B748,[1]Sheet1!$B:$B,[1]Sheet1!$A:$A,,0,1)</f>
        <v>152000001</v>
      </c>
      <c r="W748" s="4"/>
      <c r="X748" s="4"/>
      <c r="AD748" s="4"/>
      <c r="AE748" s="4"/>
    </row>
    <row r="749" s="2" customFormat="1" ht="16.5" spans="1:31">
      <c r="A749" s="4">
        <v>4</v>
      </c>
      <c r="B749" s="43" t="s">
        <v>1391</v>
      </c>
      <c r="C749" s="4"/>
      <c r="D749" s="26" t="s">
        <v>94</v>
      </c>
      <c r="E749" s="4">
        <v>4</v>
      </c>
      <c r="F749" s="5">
        <f>VLOOKUP(B749,[1]Sheet1!$B:$G,6,FALSE)</f>
        <v>1</v>
      </c>
      <c r="G749" s="5">
        <f>VLOOKUP(B749,[1]Sheet1!B:H,7,FALSE)</f>
        <v>1</v>
      </c>
      <c r="H749" s="6">
        <f t="shared" si="811"/>
        <v>1</v>
      </c>
      <c r="I749" s="4">
        <f t="shared" si="812"/>
        <v>3021</v>
      </c>
      <c r="J749" s="13">
        <f>ROUND(VLOOKUP(D749,[1]物品容器!$T$3:$U$8,2,FALSE)*M749,0)</f>
        <v>3021</v>
      </c>
      <c r="K749" s="18">
        <f t="shared" si="813"/>
        <v>3021</v>
      </c>
      <c r="L749" s="18">
        <f t="shared" ref="L749:O749" si="819">ROUND($I749*L$2,0)</f>
        <v>1813</v>
      </c>
      <c r="M749" s="7">
        <v>1.0069</v>
      </c>
      <c r="N749" s="18">
        <f t="shared" si="819"/>
        <v>453</v>
      </c>
      <c r="O749" s="18">
        <f t="shared" si="819"/>
        <v>45315</v>
      </c>
      <c r="P749" s="18">
        <f t="shared" si="815"/>
        <v>27.195</v>
      </c>
      <c r="Q749" s="18">
        <f t="shared" si="816"/>
        <v>151</v>
      </c>
      <c r="R749" s="44" t="s">
        <v>1391</v>
      </c>
      <c r="S749" s="4">
        <f>_xlfn.XLOOKUP(B749,[1]Sheet1!$B:$B,[1]Sheet1!$A:$A,,0,1)</f>
        <v>150000002</v>
      </c>
      <c r="W749" s="4"/>
      <c r="X749" s="4"/>
      <c r="AD749" s="4"/>
      <c r="AE749" s="4"/>
    </row>
    <row r="750" s="2" customFormat="1" ht="16.5" spans="1:31">
      <c r="A750" s="4">
        <v>5</v>
      </c>
      <c r="B750" s="43" t="s">
        <v>236</v>
      </c>
      <c r="C750" s="4"/>
      <c r="D750" s="26" t="s">
        <v>94</v>
      </c>
      <c r="E750" s="4">
        <v>5</v>
      </c>
      <c r="F750" s="5">
        <f>VLOOKUP(B750,[1]Sheet1!$B:$G,6,FALSE)</f>
        <v>1</v>
      </c>
      <c r="G750" s="5">
        <f>VLOOKUP(B750,[1]Sheet1!B:H,7,FALSE)</f>
        <v>1</v>
      </c>
      <c r="H750" s="6">
        <f t="shared" si="811"/>
        <v>1</v>
      </c>
      <c r="I750" s="4">
        <f t="shared" si="812"/>
        <v>2972</v>
      </c>
      <c r="J750" s="13">
        <f>ROUND(VLOOKUP(D750,[1]物品容器!$T$3:$U$8,2,FALSE)*M750,0)</f>
        <v>2972</v>
      </c>
      <c r="K750" s="18">
        <f t="shared" si="813"/>
        <v>2972</v>
      </c>
      <c r="L750" s="18">
        <f t="shared" ref="L750:O750" si="820">ROUND($I750*L$2,0)</f>
        <v>1783</v>
      </c>
      <c r="M750" s="7">
        <v>0.9906</v>
      </c>
      <c r="N750" s="18">
        <f t="shared" si="820"/>
        <v>446</v>
      </c>
      <c r="O750" s="18">
        <f t="shared" si="820"/>
        <v>44580</v>
      </c>
      <c r="P750" s="18">
        <f t="shared" si="815"/>
        <v>26.745</v>
      </c>
      <c r="Q750" s="18">
        <f t="shared" si="816"/>
        <v>148</v>
      </c>
      <c r="R750" s="44" t="s">
        <v>236</v>
      </c>
      <c r="S750" s="4">
        <f>_xlfn.XLOOKUP(B750,[1]Sheet1!$B:$B,[1]Sheet1!$A:$A,,0,1)</f>
        <v>151000002</v>
      </c>
      <c r="W750" s="4"/>
      <c r="X750" s="4"/>
      <c r="AD750" s="4"/>
      <c r="AE750" s="4"/>
    </row>
    <row r="751" s="2" customFormat="1" ht="16.5" spans="1:31">
      <c r="A751" s="4">
        <v>6</v>
      </c>
      <c r="B751" s="43" t="s">
        <v>245</v>
      </c>
      <c r="C751" s="4"/>
      <c r="D751" s="26" t="s">
        <v>94</v>
      </c>
      <c r="E751" s="4">
        <v>6</v>
      </c>
      <c r="F751" s="5">
        <f>VLOOKUP(B751,[1]Sheet1!$B:$G,6,FALSE)</f>
        <v>1</v>
      </c>
      <c r="G751" s="5">
        <f>VLOOKUP(B751,[1]Sheet1!B:H,7,FALSE)</f>
        <v>1</v>
      </c>
      <c r="H751" s="6">
        <f t="shared" si="811"/>
        <v>1</v>
      </c>
      <c r="I751" s="4">
        <f t="shared" si="812"/>
        <v>3000</v>
      </c>
      <c r="J751" s="13">
        <f>ROUND(VLOOKUP(D751,[1]物品容器!$T$3:$U$8,2,FALSE)*M751,0)</f>
        <v>3000</v>
      </c>
      <c r="K751" s="18">
        <f t="shared" si="813"/>
        <v>3000</v>
      </c>
      <c r="L751" s="18">
        <f t="shared" ref="L751:O751" si="821">ROUND($I751*L$2,0)</f>
        <v>1800</v>
      </c>
      <c r="M751" s="7">
        <v>1.0001</v>
      </c>
      <c r="N751" s="18">
        <f t="shared" si="821"/>
        <v>450</v>
      </c>
      <c r="O751" s="18">
        <f t="shared" si="821"/>
        <v>45000</v>
      </c>
      <c r="P751" s="18">
        <f t="shared" si="815"/>
        <v>27</v>
      </c>
      <c r="Q751" s="18">
        <f t="shared" si="816"/>
        <v>149</v>
      </c>
      <c r="R751" s="44" t="s">
        <v>245</v>
      </c>
      <c r="S751" s="4">
        <f>_xlfn.XLOOKUP(B751,[1]Sheet1!$B:$B,[1]Sheet1!$A:$A,,0,1)</f>
        <v>152000002</v>
      </c>
      <c r="W751" s="4"/>
      <c r="X751" s="4"/>
      <c r="AD751" s="4"/>
      <c r="AE751" s="4"/>
    </row>
    <row r="752" s="2" customFormat="1" ht="16.5" spans="1:31">
      <c r="A752" s="4">
        <v>7</v>
      </c>
      <c r="B752" s="43" t="s">
        <v>1392</v>
      </c>
      <c r="C752" s="4"/>
      <c r="D752" s="25" t="s">
        <v>76</v>
      </c>
      <c r="E752" s="4">
        <v>7</v>
      </c>
      <c r="F752" s="5">
        <f>VLOOKUP(B752,[1]Sheet1!$B:$G,6,FALSE)</f>
        <v>1</v>
      </c>
      <c r="G752" s="5">
        <f>VLOOKUP(B752,[1]Sheet1!B:H,7,FALSE)</f>
        <v>1</v>
      </c>
      <c r="H752" s="6">
        <f t="shared" si="811"/>
        <v>1</v>
      </c>
      <c r="I752" s="4">
        <f t="shared" si="812"/>
        <v>10019</v>
      </c>
      <c r="J752" s="13">
        <f>ROUND(VLOOKUP(D752,[1]物品容器!$T$3:$U$8,2,FALSE)*M752,0)</f>
        <v>10019</v>
      </c>
      <c r="K752" s="18">
        <f t="shared" si="813"/>
        <v>10019</v>
      </c>
      <c r="L752" s="18">
        <f t="shared" ref="L752:O752" si="822">ROUND($I752*L$2,0)</f>
        <v>6011</v>
      </c>
      <c r="M752" s="7">
        <v>1.0019</v>
      </c>
      <c r="N752" s="18">
        <f t="shared" si="822"/>
        <v>1503</v>
      </c>
      <c r="O752" s="18">
        <f t="shared" si="822"/>
        <v>150285</v>
      </c>
      <c r="P752" s="18">
        <f t="shared" si="815"/>
        <v>90.165</v>
      </c>
      <c r="Q752" s="18">
        <f t="shared" si="816"/>
        <v>499</v>
      </c>
      <c r="R752" s="44" t="s">
        <v>1392</v>
      </c>
      <c r="S752" s="4">
        <f>_xlfn.XLOOKUP(B752,[1]Sheet1!$B:$B,[1]Sheet1!$A:$A,,0,1)</f>
        <v>150000003</v>
      </c>
      <c r="W752" s="4"/>
      <c r="X752" s="4"/>
      <c r="AD752" s="4"/>
      <c r="AE752" s="4"/>
    </row>
    <row r="753" s="2" customFormat="1" ht="16.5" spans="1:31">
      <c r="A753" s="4">
        <v>8</v>
      </c>
      <c r="B753" s="43" t="s">
        <v>239</v>
      </c>
      <c r="C753" s="4"/>
      <c r="D753" s="25" t="s">
        <v>76</v>
      </c>
      <c r="E753" s="4">
        <v>8</v>
      </c>
      <c r="F753" s="5">
        <f>VLOOKUP(B753,[1]Sheet1!$B:$G,6,FALSE)</f>
        <v>1</v>
      </c>
      <c r="G753" s="5">
        <f>VLOOKUP(B753,[1]Sheet1!B:H,7,FALSE)</f>
        <v>1</v>
      </c>
      <c r="H753" s="6">
        <f t="shared" si="811"/>
        <v>1</v>
      </c>
      <c r="I753" s="4">
        <f t="shared" si="812"/>
        <v>10023</v>
      </c>
      <c r="J753" s="13">
        <f>ROUND(VLOOKUP(D753,[1]物品容器!$T$3:$U$8,2,FALSE)*M753,0)</f>
        <v>10023</v>
      </c>
      <c r="K753" s="18">
        <f t="shared" si="813"/>
        <v>10023</v>
      </c>
      <c r="L753" s="18">
        <f t="shared" ref="L753:O753" si="823">ROUND($I753*L$2,0)</f>
        <v>6014</v>
      </c>
      <c r="M753" s="7">
        <v>1.0023</v>
      </c>
      <c r="N753" s="18">
        <f t="shared" si="823"/>
        <v>1503</v>
      </c>
      <c r="O753" s="18">
        <f t="shared" si="823"/>
        <v>150345</v>
      </c>
      <c r="P753" s="18">
        <f t="shared" si="815"/>
        <v>90.21</v>
      </c>
      <c r="Q753" s="18">
        <f t="shared" si="816"/>
        <v>499</v>
      </c>
      <c r="R753" s="44" t="s">
        <v>239</v>
      </c>
      <c r="S753" s="4">
        <f>_xlfn.XLOOKUP(B753,[1]Sheet1!$B:$B,[1]Sheet1!$A:$A,,0,1)</f>
        <v>151000003</v>
      </c>
      <c r="W753" s="4"/>
      <c r="X753" s="4"/>
      <c r="AD753" s="4"/>
      <c r="AE753" s="4"/>
    </row>
    <row r="754" s="2" customFormat="1" ht="16.5" spans="1:31">
      <c r="A754" s="4">
        <v>9</v>
      </c>
      <c r="B754" s="43" t="s">
        <v>248</v>
      </c>
      <c r="C754" s="4"/>
      <c r="D754" s="25" t="s">
        <v>76</v>
      </c>
      <c r="E754" s="4">
        <v>9</v>
      </c>
      <c r="F754" s="5">
        <f>VLOOKUP(B754,[1]Sheet1!$B:$G,6,FALSE)</f>
        <v>1</v>
      </c>
      <c r="G754" s="5">
        <f>VLOOKUP(B754,[1]Sheet1!B:H,7,FALSE)</f>
        <v>1</v>
      </c>
      <c r="H754" s="6">
        <f t="shared" si="811"/>
        <v>1</v>
      </c>
      <c r="I754" s="4">
        <f t="shared" si="812"/>
        <v>10076</v>
      </c>
      <c r="J754" s="13">
        <f>ROUND(VLOOKUP(D754,[1]物品容器!$T$3:$U$8,2,FALSE)*M754,0)</f>
        <v>10076</v>
      </c>
      <c r="K754" s="18">
        <f t="shared" si="813"/>
        <v>10076</v>
      </c>
      <c r="L754" s="18">
        <f t="shared" ref="L754:O754" si="824">ROUND($I754*L$2,0)</f>
        <v>6046</v>
      </c>
      <c r="M754" s="7">
        <v>1.0076</v>
      </c>
      <c r="N754" s="18">
        <f t="shared" si="824"/>
        <v>1511</v>
      </c>
      <c r="O754" s="18">
        <f t="shared" si="824"/>
        <v>151140</v>
      </c>
      <c r="P754" s="18">
        <f t="shared" si="815"/>
        <v>90.69</v>
      </c>
      <c r="Q754" s="18">
        <f t="shared" si="816"/>
        <v>502</v>
      </c>
      <c r="R754" s="44" t="s">
        <v>248</v>
      </c>
      <c r="S754" s="4">
        <f>_xlfn.XLOOKUP(B754,[1]Sheet1!$B:$B,[1]Sheet1!$A:$A,,0,1)</f>
        <v>152000003</v>
      </c>
      <c r="W754" s="4"/>
      <c r="X754" s="4"/>
      <c r="AD754" s="4"/>
      <c r="AE754" s="4"/>
    </row>
    <row r="755" s="2" customFormat="1" spans="1:31">
      <c r="A755" s="4">
        <v>10</v>
      </c>
      <c r="B755" s="4" t="s">
        <v>188</v>
      </c>
      <c r="C755" s="4"/>
      <c r="D755" s="4" t="s">
        <v>116</v>
      </c>
      <c r="E755" s="4">
        <v>10</v>
      </c>
      <c r="F755" s="5">
        <f>VLOOKUP(B755,[1]Sheet1!$B:$G,6,FALSE)</f>
        <v>1</v>
      </c>
      <c r="G755" s="5">
        <f>VLOOKUP(B755,[1]Sheet1!B:H,7,FALSE)</f>
        <v>1</v>
      </c>
      <c r="H755" s="6">
        <f t="shared" si="811"/>
        <v>1</v>
      </c>
      <c r="I755" s="4">
        <f t="shared" si="812"/>
        <v>1008</v>
      </c>
      <c r="J755" s="13">
        <f>ROUND(VLOOKUP(D755,[1]物品容器!$T$3:$U$8,2,FALSE)*M755,0)</f>
        <v>1008</v>
      </c>
      <c r="K755" s="18">
        <f t="shared" si="813"/>
        <v>1008</v>
      </c>
      <c r="L755" s="18">
        <f t="shared" ref="L755:O755" si="825">ROUND($I755*L$2,0)</f>
        <v>605</v>
      </c>
      <c r="M755" s="7">
        <v>1.0076</v>
      </c>
      <c r="N755" s="18">
        <f t="shared" si="825"/>
        <v>151</v>
      </c>
      <c r="O755" s="18">
        <f t="shared" si="825"/>
        <v>15120</v>
      </c>
      <c r="P755" s="18">
        <f t="shared" si="815"/>
        <v>9.075</v>
      </c>
      <c r="Q755" s="18">
        <f t="shared" si="816"/>
        <v>50</v>
      </c>
      <c r="R755" s="42" t="s">
        <v>188</v>
      </c>
      <c r="S755" s="4">
        <f>_xlfn.XLOOKUP(B755,[1]Sheet1!$B:$B,[1]Sheet1!$A:$A,,0,1)</f>
        <v>141010101</v>
      </c>
      <c r="W755" s="4"/>
      <c r="X755" s="4"/>
      <c r="AD755" s="4"/>
      <c r="AE755" s="4"/>
    </row>
    <row r="756" s="2" customFormat="1" spans="1:31">
      <c r="A756" s="4">
        <v>11</v>
      </c>
      <c r="B756" s="4" t="s">
        <v>206</v>
      </c>
      <c r="C756" s="4"/>
      <c r="D756" s="4" t="s">
        <v>116</v>
      </c>
      <c r="E756" s="4">
        <v>11</v>
      </c>
      <c r="F756" s="5">
        <f>VLOOKUP(B756,[1]Sheet1!$B:$G,6,FALSE)</f>
        <v>1</v>
      </c>
      <c r="G756" s="5">
        <f>VLOOKUP(B756,[1]Sheet1!B:H,7,FALSE)</f>
        <v>1</v>
      </c>
      <c r="H756" s="6">
        <f t="shared" si="811"/>
        <v>1</v>
      </c>
      <c r="I756" s="4">
        <f t="shared" si="812"/>
        <v>996</v>
      </c>
      <c r="J756" s="13">
        <f>ROUND(VLOOKUP(D756,[1]物品容器!$T$3:$U$8,2,FALSE)*M756,0)</f>
        <v>996</v>
      </c>
      <c r="K756" s="18">
        <f t="shared" si="813"/>
        <v>996</v>
      </c>
      <c r="L756" s="18">
        <f t="shared" ref="L756:O756" si="826">ROUND($I756*L$2,0)</f>
        <v>598</v>
      </c>
      <c r="M756" s="7">
        <v>0.9963</v>
      </c>
      <c r="N756" s="18">
        <f t="shared" si="826"/>
        <v>149</v>
      </c>
      <c r="O756" s="18">
        <f t="shared" si="826"/>
        <v>14940</v>
      </c>
      <c r="P756" s="18">
        <f t="shared" si="815"/>
        <v>8.97</v>
      </c>
      <c r="Q756" s="18">
        <f t="shared" si="816"/>
        <v>50</v>
      </c>
      <c r="R756" s="42" t="s">
        <v>206</v>
      </c>
      <c r="S756" s="4">
        <f>_xlfn.XLOOKUP(B756,[1]Sheet1!$B:$B,[1]Sheet1!$A:$A,,0,1)</f>
        <v>141020101</v>
      </c>
      <c r="W756" s="4"/>
      <c r="X756" s="4"/>
      <c r="AD756" s="4"/>
      <c r="AE756" s="4"/>
    </row>
    <row r="757" s="2" customFormat="1" spans="1:31">
      <c r="A757" s="4">
        <v>12</v>
      </c>
      <c r="B757" s="4" t="s">
        <v>191</v>
      </c>
      <c r="C757" s="4"/>
      <c r="D757" s="26" t="s">
        <v>94</v>
      </c>
      <c r="E757" s="4">
        <v>12</v>
      </c>
      <c r="F757" s="5">
        <f>VLOOKUP(B757,[1]Sheet1!$B:$G,6,FALSE)</f>
        <v>1</v>
      </c>
      <c r="G757" s="5">
        <f>VLOOKUP(B757,[1]Sheet1!B:H,7,FALSE)</f>
        <v>1</v>
      </c>
      <c r="H757" s="6">
        <f t="shared" si="811"/>
        <v>1</v>
      </c>
      <c r="I757" s="4">
        <f t="shared" si="812"/>
        <v>2975</v>
      </c>
      <c r="J757" s="13">
        <f>ROUND(VLOOKUP(D757,[1]物品容器!$T$3:$U$8,2,FALSE)*M757,0)</f>
        <v>2975</v>
      </c>
      <c r="K757" s="18">
        <f t="shared" si="813"/>
        <v>2975</v>
      </c>
      <c r="L757" s="18">
        <f t="shared" ref="L757:O757" si="827">ROUND($I757*L$2,0)</f>
        <v>1785</v>
      </c>
      <c r="M757" s="7">
        <v>0.9916</v>
      </c>
      <c r="N757" s="18">
        <f t="shared" si="827"/>
        <v>446</v>
      </c>
      <c r="O757" s="18">
        <f t="shared" si="827"/>
        <v>44625</v>
      </c>
      <c r="P757" s="18">
        <f t="shared" si="815"/>
        <v>26.775</v>
      </c>
      <c r="Q757" s="18">
        <f t="shared" si="816"/>
        <v>148</v>
      </c>
      <c r="R757" s="42" t="s">
        <v>191</v>
      </c>
      <c r="S757" s="4">
        <f>_xlfn.XLOOKUP(B757,[1]Sheet1!$B:$B,[1]Sheet1!$A:$A,,0,1)</f>
        <v>141010201</v>
      </c>
      <c r="W757" s="4"/>
      <c r="X757" s="4"/>
      <c r="AD757" s="4"/>
      <c r="AE757" s="4"/>
    </row>
    <row r="758" s="2" customFormat="1" spans="1:31">
      <c r="A758" s="4">
        <v>13</v>
      </c>
      <c r="B758" s="4" t="s">
        <v>209</v>
      </c>
      <c r="C758" s="4"/>
      <c r="D758" s="26" t="s">
        <v>94</v>
      </c>
      <c r="E758" s="4">
        <v>13</v>
      </c>
      <c r="F758" s="5">
        <f>VLOOKUP(B758,[1]Sheet1!$B:$G,6,FALSE)</f>
        <v>1</v>
      </c>
      <c r="G758" s="5">
        <f>VLOOKUP(B758,[1]Sheet1!B:H,7,FALSE)</f>
        <v>1</v>
      </c>
      <c r="H758" s="6">
        <f t="shared" si="811"/>
        <v>1</v>
      </c>
      <c r="I758" s="4">
        <f t="shared" si="812"/>
        <v>2973</v>
      </c>
      <c r="J758" s="13">
        <f>ROUND(VLOOKUP(D758,[1]物品容器!$T$3:$U$8,2,FALSE)*M758,0)</f>
        <v>2973</v>
      </c>
      <c r="K758" s="18">
        <f t="shared" si="813"/>
        <v>2973</v>
      </c>
      <c r="L758" s="18">
        <f t="shared" ref="L758:O758" si="828">ROUND($I758*L$2,0)</f>
        <v>1784</v>
      </c>
      <c r="M758" s="7">
        <v>0.991</v>
      </c>
      <c r="N758" s="18">
        <f t="shared" si="828"/>
        <v>446</v>
      </c>
      <c r="O758" s="18">
        <f t="shared" si="828"/>
        <v>44595</v>
      </c>
      <c r="P758" s="18">
        <f t="shared" si="815"/>
        <v>26.76</v>
      </c>
      <c r="Q758" s="18">
        <f t="shared" si="816"/>
        <v>148</v>
      </c>
      <c r="R758" s="42" t="s">
        <v>209</v>
      </c>
      <c r="S758" s="4">
        <f>_xlfn.XLOOKUP(B758,[1]Sheet1!$B:$B,[1]Sheet1!$A:$A,,0,1)</f>
        <v>141020201</v>
      </c>
      <c r="W758" s="4"/>
      <c r="X758" s="4"/>
      <c r="AD758" s="4"/>
      <c r="AE758" s="4"/>
    </row>
    <row r="759" s="2" customFormat="1" spans="1:31">
      <c r="A759" s="4">
        <v>14</v>
      </c>
      <c r="B759" s="4" t="s">
        <v>194</v>
      </c>
      <c r="C759" s="4"/>
      <c r="D759" s="25" t="s">
        <v>76</v>
      </c>
      <c r="E759" s="4">
        <v>14</v>
      </c>
      <c r="F759" s="5">
        <f>VLOOKUP(B759,[1]Sheet1!$B:$G,6,FALSE)</f>
        <v>1</v>
      </c>
      <c r="G759" s="5">
        <f>VLOOKUP(B759,[1]Sheet1!B:H,7,FALSE)</f>
        <v>1</v>
      </c>
      <c r="H759" s="6">
        <f t="shared" si="811"/>
        <v>1</v>
      </c>
      <c r="I759" s="4">
        <f t="shared" si="812"/>
        <v>9993</v>
      </c>
      <c r="J759" s="13">
        <f>ROUND(VLOOKUP(D759,[1]物品容器!$T$3:$U$8,2,FALSE)*M759,0)</f>
        <v>9993</v>
      </c>
      <c r="K759" s="18">
        <f t="shared" si="813"/>
        <v>9993</v>
      </c>
      <c r="L759" s="18">
        <f t="shared" ref="L759:O759" si="829">ROUND($I759*L$2,0)</f>
        <v>5996</v>
      </c>
      <c r="M759" s="7">
        <v>0.9993</v>
      </c>
      <c r="N759" s="18">
        <f t="shared" si="829"/>
        <v>1499</v>
      </c>
      <c r="O759" s="18">
        <f t="shared" si="829"/>
        <v>149895</v>
      </c>
      <c r="P759" s="18">
        <f t="shared" si="815"/>
        <v>89.94</v>
      </c>
      <c r="Q759" s="18">
        <f t="shared" si="816"/>
        <v>498</v>
      </c>
      <c r="R759" s="42" t="s">
        <v>194</v>
      </c>
      <c r="S759" s="4">
        <f>_xlfn.XLOOKUP(B759,[1]Sheet1!$B:$B,[1]Sheet1!$A:$A,,0,1)</f>
        <v>141010301</v>
      </c>
      <c r="W759" s="4"/>
      <c r="X759" s="4"/>
      <c r="AD759" s="4"/>
      <c r="AE759" s="4"/>
    </row>
    <row r="760" s="2" customFormat="1" spans="1:31">
      <c r="A760" s="4">
        <v>15</v>
      </c>
      <c r="B760" s="4" t="s">
        <v>212</v>
      </c>
      <c r="C760" s="4"/>
      <c r="D760" s="25" t="s">
        <v>76</v>
      </c>
      <c r="E760" s="4">
        <v>15</v>
      </c>
      <c r="F760" s="5">
        <f>VLOOKUP(B760,[1]Sheet1!$B:$G,6,FALSE)</f>
        <v>1</v>
      </c>
      <c r="G760" s="5">
        <f>VLOOKUP(B760,[1]Sheet1!B:H,7,FALSE)</f>
        <v>1</v>
      </c>
      <c r="H760" s="6">
        <f t="shared" si="811"/>
        <v>1</v>
      </c>
      <c r="I760" s="4">
        <f t="shared" si="812"/>
        <v>10009</v>
      </c>
      <c r="J760" s="13">
        <f>ROUND(VLOOKUP(D760,[1]物品容器!$T$3:$U$8,2,FALSE)*M760,0)</f>
        <v>10009</v>
      </c>
      <c r="K760" s="18">
        <f t="shared" si="813"/>
        <v>10009</v>
      </c>
      <c r="L760" s="18">
        <f t="shared" ref="L760:O760" si="830">ROUND($I760*L$2,0)</f>
        <v>6005</v>
      </c>
      <c r="M760" s="7">
        <v>1.0009</v>
      </c>
      <c r="N760" s="18">
        <f t="shared" si="830"/>
        <v>1501</v>
      </c>
      <c r="O760" s="18">
        <f t="shared" si="830"/>
        <v>150135</v>
      </c>
      <c r="P760" s="18">
        <f t="shared" si="815"/>
        <v>90.075</v>
      </c>
      <c r="Q760" s="18">
        <f t="shared" si="816"/>
        <v>499</v>
      </c>
      <c r="R760" s="42" t="s">
        <v>212</v>
      </c>
      <c r="S760" s="4">
        <f>_xlfn.XLOOKUP(B760,[1]Sheet1!$B:$B,[1]Sheet1!$A:$A,,0,1)</f>
        <v>141020301</v>
      </c>
      <c r="W760" s="4"/>
      <c r="X760" s="4"/>
      <c r="AD760" s="4"/>
      <c r="AE760" s="4"/>
    </row>
    <row r="761" s="2" customFormat="1" spans="1:31">
      <c r="A761" s="4">
        <v>16</v>
      </c>
      <c r="B761" s="4" t="s">
        <v>197</v>
      </c>
      <c r="C761" s="4"/>
      <c r="D761" s="24" t="s">
        <v>63</v>
      </c>
      <c r="E761" s="4">
        <v>16</v>
      </c>
      <c r="F761" s="5">
        <f>VLOOKUP(B761,[1]Sheet1!$B:$G,6,FALSE)</f>
        <v>1</v>
      </c>
      <c r="G761" s="5">
        <f>VLOOKUP(B761,[1]Sheet1!B:H,7,FALSE)</f>
        <v>1</v>
      </c>
      <c r="H761" s="6">
        <f t="shared" si="811"/>
        <v>1</v>
      </c>
      <c r="I761" s="4">
        <f t="shared" si="812"/>
        <v>29928</v>
      </c>
      <c r="J761" s="13">
        <f>ROUND(VLOOKUP(D761,[1]物品容器!$T$3:$U$8,2,FALSE)*M761,0)</f>
        <v>29928</v>
      </c>
      <c r="K761" s="18">
        <f t="shared" si="813"/>
        <v>29928</v>
      </c>
      <c r="L761" s="18">
        <f t="shared" ref="L761:O761" si="831">ROUND($I761*L$2,0)</f>
        <v>17957</v>
      </c>
      <c r="M761" s="7">
        <v>0.9976</v>
      </c>
      <c r="N761" s="18">
        <f t="shared" si="831"/>
        <v>4489</v>
      </c>
      <c r="O761" s="18">
        <f t="shared" si="831"/>
        <v>448920</v>
      </c>
      <c r="P761" s="18">
        <f t="shared" si="815"/>
        <v>269.355</v>
      </c>
      <c r="Q761" s="18">
        <f t="shared" si="816"/>
        <v>1491</v>
      </c>
      <c r="R761" s="42" t="s">
        <v>197</v>
      </c>
      <c r="S761" s="4">
        <f>_xlfn.XLOOKUP(B761,[1]Sheet1!$B:$B,[1]Sheet1!$A:$A,,0,1)</f>
        <v>141010401</v>
      </c>
      <c r="W761" s="4"/>
      <c r="X761" s="4"/>
      <c r="AD761" s="4"/>
      <c r="AE761" s="4"/>
    </row>
    <row r="762" s="2" customFormat="1" spans="1:31">
      <c r="A762" s="4">
        <v>17</v>
      </c>
      <c r="B762" s="4" t="s">
        <v>215</v>
      </c>
      <c r="C762" s="4"/>
      <c r="D762" s="24" t="s">
        <v>63</v>
      </c>
      <c r="E762" s="4">
        <v>17</v>
      </c>
      <c r="F762" s="5">
        <f>VLOOKUP(B762,[1]Sheet1!$B:$G,6,FALSE)</f>
        <v>1</v>
      </c>
      <c r="G762" s="5">
        <f>VLOOKUP(B762,[1]Sheet1!B:H,7,FALSE)</f>
        <v>1</v>
      </c>
      <c r="H762" s="6">
        <f t="shared" si="811"/>
        <v>1</v>
      </c>
      <c r="I762" s="4">
        <f t="shared" si="812"/>
        <v>30177</v>
      </c>
      <c r="J762" s="13">
        <f>ROUND(VLOOKUP(D762,[1]物品容器!$T$3:$U$8,2,FALSE)*M762,0)</f>
        <v>30177</v>
      </c>
      <c r="K762" s="18">
        <f t="shared" si="813"/>
        <v>30177</v>
      </c>
      <c r="L762" s="18">
        <f t="shared" ref="L762:O762" si="832">ROUND($I762*L$2,0)</f>
        <v>18106</v>
      </c>
      <c r="M762" s="7">
        <v>1.0059</v>
      </c>
      <c r="N762" s="18">
        <f t="shared" si="832"/>
        <v>4527</v>
      </c>
      <c r="O762" s="18">
        <f t="shared" si="832"/>
        <v>452655</v>
      </c>
      <c r="P762" s="18">
        <f t="shared" si="815"/>
        <v>271.59</v>
      </c>
      <c r="Q762" s="18">
        <f t="shared" si="816"/>
        <v>1504</v>
      </c>
      <c r="R762" s="42" t="s">
        <v>215</v>
      </c>
      <c r="S762" s="4">
        <f>_xlfn.XLOOKUP(B762,[1]Sheet1!$B:$B,[1]Sheet1!$A:$A,,0,1)</f>
        <v>141020401</v>
      </c>
      <c r="W762" s="4"/>
      <c r="X762" s="4"/>
      <c r="AD762" s="4"/>
      <c r="AE762" s="4"/>
    </row>
    <row r="763" s="2" customFormat="1" spans="1:31">
      <c r="A763" s="4">
        <v>18</v>
      </c>
      <c r="B763" s="4" t="s">
        <v>200</v>
      </c>
      <c r="C763" s="4"/>
      <c r="D763" s="40" t="s">
        <v>41</v>
      </c>
      <c r="E763" s="4">
        <v>18</v>
      </c>
      <c r="F763" s="5">
        <f>VLOOKUP(B763,[1]Sheet1!$B:$G,6,FALSE)</f>
        <v>1</v>
      </c>
      <c r="G763" s="5">
        <f>VLOOKUP(B763,[1]Sheet1!B:H,7,FALSE)</f>
        <v>1</v>
      </c>
      <c r="H763" s="6">
        <f t="shared" si="811"/>
        <v>1</v>
      </c>
      <c r="I763" s="4">
        <f t="shared" si="812"/>
        <v>100510</v>
      </c>
      <c r="J763" s="13">
        <f>ROUND(VLOOKUP(D763,[1]物品容器!$T$3:$U$8,2,FALSE)*M763,0)</f>
        <v>100510</v>
      </c>
      <c r="K763" s="18">
        <f t="shared" si="813"/>
        <v>100510</v>
      </c>
      <c r="L763" s="18">
        <f t="shared" ref="L763:O763" si="833">ROUND($I763*L$2,0)</f>
        <v>60306</v>
      </c>
      <c r="M763" s="7">
        <v>1.0051</v>
      </c>
      <c r="N763" s="18">
        <f t="shared" si="833"/>
        <v>15077</v>
      </c>
      <c r="O763" s="18">
        <f t="shared" si="833"/>
        <v>1507650</v>
      </c>
      <c r="P763" s="18">
        <f t="shared" si="815"/>
        <v>904.59</v>
      </c>
      <c r="Q763" s="18">
        <f t="shared" si="816"/>
        <v>5008</v>
      </c>
      <c r="R763" s="42" t="s">
        <v>200</v>
      </c>
      <c r="S763" s="4">
        <f>_xlfn.XLOOKUP(B763,[1]Sheet1!$B:$B,[1]Sheet1!$A:$A,,0,1)</f>
        <v>141010501</v>
      </c>
      <c r="W763" s="4"/>
      <c r="X763" s="4"/>
      <c r="AD763" s="4"/>
      <c r="AE763" s="4"/>
    </row>
    <row r="764" s="2" customFormat="1" spans="1:31">
      <c r="A764" s="4">
        <v>19</v>
      </c>
      <c r="B764" s="4" t="s">
        <v>218</v>
      </c>
      <c r="C764" s="4"/>
      <c r="D764" s="40" t="s">
        <v>41</v>
      </c>
      <c r="E764" s="4">
        <v>19</v>
      </c>
      <c r="F764" s="5">
        <f>VLOOKUP(B764,[1]Sheet1!$B:$G,6,FALSE)</f>
        <v>1</v>
      </c>
      <c r="G764" s="5">
        <f>VLOOKUP(B764,[1]Sheet1!B:H,7,FALSE)</f>
        <v>1</v>
      </c>
      <c r="H764" s="6">
        <f t="shared" si="811"/>
        <v>1</v>
      </c>
      <c r="I764" s="4">
        <f t="shared" si="812"/>
        <v>99780</v>
      </c>
      <c r="J764" s="13">
        <f>ROUND(VLOOKUP(D764,[1]物品容器!$T$3:$U$8,2,FALSE)*M764,0)</f>
        <v>99780</v>
      </c>
      <c r="K764" s="18">
        <f t="shared" si="813"/>
        <v>99780</v>
      </c>
      <c r="L764" s="18">
        <f t="shared" ref="L764:O764" si="834">ROUND($I764*L$2,0)</f>
        <v>59868</v>
      </c>
      <c r="M764" s="7">
        <v>0.9978</v>
      </c>
      <c r="N764" s="18">
        <f t="shared" si="834"/>
        <v>14967</v>
      </c>
      <c r="O764" s="18">
        <f t="shared" si="834"/>
        <v>1496700</v>
      </c>
      <c r="P764" s="18">
        <f t="shared" si="815"/>
        <v>898.02</v>
      </c>
      <c r="Q764" s="18">
        <f t="shared" si="816"/>
        <v>4972</v>
      </c>
      <c r="R764" s="42" t="s">
        <v>218</v>
      </c>
      <c r="S764" s="4">
        <f>_xlfn.XLOOKUP(B764,[1]Sheet1!$B:$B,[1]Sheet1!$A:$A,,0,1)</f>
        <v>141020501</v>
      </c>
      <c r="W764" s="4"/>
      <c r="X764" s="4"/>
      <c r="AD764" s="4"/>
      <c r="AE764" s="4"/>
    </row>
    <row r="765" s="2" customFormat="1" spans="1:31">
      <c r="A765" s="4">
        <v>20</v>
      </c>
      <c r="B765" s="4" t="s">
        <v>203</v>
      </c>
      <c r="C765" s="4"/>
      <c r="D765" s="17" t="s">
        <v>26</v>
      </c>
      <c r="E765" s="4">
        <v>20</v>
      </c>
      <c r="F765" s="5">
        <f>VLOOKUP(B765,[1]Sheet1!$B:$G,6,FALSE)</f>
        <v>1</v>
      </c>
      <c r="G765" s="5">
        <f>VLOOKUP(B765,[1]Sheet1!B:H,7,FALSE)</f>
        <v>1</v>
      </c>
      <c r="H765" s="6">
        <f t="shared" si="811"/>
        <v>1</v>
      </c>
      <c r="I765" s="4">
        <f t="shared" si="812"/>
        <v>300750</v>
      </c>
      <c r="J765" s="13">
        <f>ROUND(VLOOKUP(D765,[1]物品容器!$T$3:$U$8,2,FALSE)*M765,0)</f>
        <v>300750</v>
      </c>
      <c r="K765" s="18">
        <f t="shared" si="813"/>
        <v>300750</v>
      </c>
      <c r="L765" s="18">
        <f t="shared" ref="L765:O765" si="835">ROUND($I765*L$2,0)</f>
        <v>180450</v>
      </c>
      <c r="M765" s="7">
        <v>1.0025</v>
      </c>
      <c r="N765" s="18">
        <f t="shared" si="835"/>
        <v>45113</v>
      </c>
      <c r="O765" s="18">
        <f t="shared" si="835"/>
        <v>4511250</v>
      </c>
      <c r="P765" s="18">
        <f t="shared" si="815"/>
        <v>2706.75</v>
      </c>
      <c r="Q765" s="18">
        <f t="shared" si="816"/>
        <v>14986</v>
      </c>
      <c r="R765" s="42" t="s">
        <v>203</v>
      </c>
      <c r="S765" s="4">
        <f>_xlfn.XLOOKUP(B765,[1]Sheet1!$B:$B,[1]Sheet1!$A:$A,,0,1)</f>
        <v>141010601</v>
      </c>
      <c r="W765" s="4"/>
      <c r="X765" s="4"/>
      <c r="AD765" s="4"/>
      <c r="AE765" s="4"/>
    </row>
    <row r="766" s="2" customFormat="1" spans="1:31">
      <c r="A766" s="4">
        <v>21</v>
      </c>
      <c r="B766" s="4" t="s">
        <v>221</v>
      </c>
      <c r="C766" s="4"/>
      <c r="D766" s="17" t="s">
        <v>26</v>
      </c>
      <c r="E766" s="4">
        <v>21</v>
      </c>
      <c r="F766" s="5">
        <f>VLOOKUP(B766,[1]Sheet1!$B:$G,6,FALSE)</f>
        <v>1</v>
      </c>
      <c r="G766" s="5">
        <f>VLOOKUP(B766,[1]Sheet1!B:H,7,FALSE)</f>
        <v>1</v>
      </c>
      <c r="H766" s="6">
        <f t="shared" si="811"/>
        <v>1</v>
      </c>
      <c r="I766" s="4">
        <f t="shared" si="812"/>
        <v>299130</v>
      </c>
      <c r="J766" s="13">
        <f>ROUND(VLOOKUP(D766,[1]物品容器!$T$3:$U$8,2,FALSE)*M766,0)</f>
        <v>299130</v>
      </c>
      <c r="K766" s="18">
        <f t="shared" si="813"/>
        <v>299130</v>
      </c>
      <c r="L766" s="18">
        <f t="shared" ref="L766:O766" si="836">ROUND($I766*L$2,0)</f>
        <v>179478</v>
      </c>
      <c r="M766" s="7">
        <v>0.9971</v>
      </c>
      <c r="N766" s="18">
        <f t="shared" si="836"/>
        <v>44870</v>
      </c>
      <c r="O766" s="18">
        <f t="shared" si="836"/>
        <v>4486950</v>
      </c>
      <c r="P766" s="18">
        <f t="shared" si="815"/>
        <v>2692.17</v>
      </c>
      <c r="Q766" s="18">
        <f t="shared" si="816"/>
        <v>14905</v>
      </c>
      <c r="R766" s="42" t="s">
        <v>221</v>
      </c>
      <c r="S766" s="4">
        <f>_xlfn.XLOOKUP(B766,[1]Sheet1!$B:$B,[1]Sheet1!$A:$A,,0,1)</f>
        <v>141020601</v>
      </c>
      <c r="W766" s="4"/>
      <c r="X766" s="4"/>
      <c r="AD766" s="4"/>
      <c r="AE766" s="4"/>
    </row>
    <row r="767" s="2" customFormat="1" spans="1:31">
      <c r="A767" s="4">
        <v>22</v>
      </c>
      <c r="B767" s="4" t="s">
        <v>1158</v>
      </c>
      <c r="C767" s="4"/>
      <c r="D767" s="4" t="s">
        <v>116</v>
      </c>
      <c r="E767" s="4">
        <v>22</v>
      </c>
      <c r="F767" s="5">
        <v>2</v>
      </c>
      <c r="G767" s="5">
        <v>2</v>
      </c>
      <c r="H767" s="6">
        <f t="shared" si="811"/>
        <v>0.91</v>
      </c>
      <c r="I767" s="4">
        <f t="shared" si="812"/>
        <v>3662</v>
      </c>
      <c r="J767" s="13">
        <f>ROUND(VLOOKUP(D767,[1]物品容器!$T$3:$U$8,2,FALSE)*M767,0)</f>
        <v>1006</v>
      </c>
      <c r="K767" s="18">
        <f t="shared" si="813"/>
        <v>915</v>
      </c>
      <c r="L767" s="18">
        <f t="shared" ref="L767:O767" si="837">ROUND($I767*L$2,0)</f>
        <v>2197</v>
      </c>
      <c r="M767" s="7">
        <v>1.0058</v>
      </c>
      <c r="N767" s="18">
        <f t="shared" si="837"/>
        <v>549</v>
      </c>
      <c r="O767" s="18">
        <f t="shared" si="837"/>
        <v>54930</v>
      </c>
      <c r="P767" s="18">
        <f t="shared" si="815"/>
        <v>32.955</v>
      </c>
      <c r="Q767" s="18">
        <f t="shared" si="816"/>
        <v>182</v>
      </c>
      <c r="R767" s="42" t="s">
        <v>1158</v>
      </c>
      <c r="S767" s="4">
        <f>_xlfn.XLOOKUP(B767,[1]Sheet1!$B:$B,[1]Sheet1!$A:$A,,0,1)</f>
        <v>231000001</v>
      </c>
      <c r="W767" s="4"/>
      <c r="X767" s="4"/>
      <c r="AD767" s="4"/>
      <c r="AE767" s="4"/>
    </row>
    <row r="768" s="2" customFormat="1" spans="1:31">
      <c r="A768" s="4">
        <v>23</v>
      </c>
      <c r="B768" s="4" t="s">
        <v>1179</v>
      </c>
      <c r="C768" s="4"/>
      <c r="D768" s="4" t="s">
        <v>116</v>
      </c>
      <c r="E768" s="4">
        <v>23</v>
      </c>
      <c r="F768" s="5">
        <v>2</v>
      </c>
      <c r="G768" s="5">
        <v>2</v>
      </c>
      <c r="H768" s="6">
        <f t="shared" si="811"/>
        <v>0.91</v>
      </c>
      <c r="I768" s="4">
        <f t="shared" si="812"/>
        <v>3676</v>
      </c>
      <c r="J768" s="13">
        <f>ROUND(VLOOKUP(D768,[1]物品容器!$T$3:$U$8,2,FALSE)*M768,0)</f>
        <v>1010</v>
      </c>
      <c r="K768" s="18">
        <f t="shared" si="813"/>
        <v>919</v>
      </c>
      <c r="L768" s="18">
        <f t="shared" ref="L768:O768" si="838">ROUND($I768*L$2,0)</f>
        <v>2206</v>
      </c>
      <c r="M768" s="7">
        <v>1.0095</v>
      </c>
      <c r="N768" s="18">
        <f t="shared" si="838"/>
        <v>551</v>
      </c>
      <c r="O768" s="18">
        <f t="shared" si="838"/>
        <v>55140</v>
      </c>
      <c r="P768" s="18">
        <f t="shared" si="815"/>
        <v>33.09</v>
      </c>
      <c r="Q768" s="18">
        <f t="shared" si="816"/>
        <v>183</v>
      </c>
      <c r="R768" s="42" t="s">
        <v>1179</v>
      </c>
      <c r="S768" s="4">
        <f>_xlfn.XLOOKUP(B768,[1]Sheet1!$B:$B,[1]Sheet1!$A:$A,,0,1)</f>
        <v>232000001</v>
      </c>
      <c r="W768" s="4"/>
      <c r="X768" s="4"/>
      <c r="AD768" s="4"/>
      <c r="AE768" s="4"/>
    </row>
    <row r="769" s="2" customFormat="1" spans="1:31">
      <c r="A769" s="4">
        <v>24</v>
      </c>
      <c r="B769" s="4" t="s">
        <v>1188</v>
      </c>
      <c r="C769" s="4"/>
      <c r="D769" s="26" t="s">
        <v>94</v>
      </c>
      <c r="E769" s="4">
        <v>24</v>
      </c>
      <c r="F769" s="5">
        <v>2</v>
      </c>
      <c r="G769" s="5">
        <v>2</v>
      </c>
      <c r="H769" s="6">
        <f t="shared" si="811"/>
        <v>0.91</v>
      </c>
      <c r="I769" s="4">
        <f t="shared" si="812"/>
        <v>10996</v>
      </c>
      <c r="J769" s="13">
        <f>ROUND(VLOOKUP(D769,[1]物品容器!$T$3:$U$8,2,FALSE)*M769,0)</f>
        <v>3021</v>
      </c>
      <c r="K769" s="18">
        <f t="shared" si="813"/>
        <v>2749</v>
      </c>
      <c r="L769" s="18">
        <f t="shared" ref="L769:O769" si="839">ROUND($I769*L$2,0)</f>
        <v>6598</v>
      </c>
      <c r="M769" s="7">
        <v>1.0071</v>
      </c>
      <c r="N769" s="18">
        <f t="shared" si="839"/>
        <v>1649</v>
      </c>
      <c r="O769" s="18">
        <f t="shared" si="839"/>
        <v>164940</v>
      </c>
      <c r="P769" s="18">
        <f t="shared" si="815"/>
        <v>98.97</v>
      </c>
      <c r="Q769" s="18">
        <f t="shared" si="816"/>
        <v>548</v>
      </c>
      <c r="R769" s="42" t="s">
        <v>1188</v>
      </c>
      <c r="S769" s="4">
        <f>_xlfn.XLOOKUP(B769,[1]Sheet1!$B:$B,[1]Sheet1!$A:$A,,0,1)</f>
        <v>233000001</v>
      </c>
      <c r="W769" s="4"/>
      <c r="X769" s="4"/>
      <c r="AD769" s="4"/>
      <c r="AE769" s="4"/>
    </row>
    <row r="770" s="2" customFormat="1" spans="1:31">
      <c r="A770" s="4">
        <v>25</v>
      </c>
      <c r="B770" s="4" t="s">
        <v>1160</v>
      </c>
      <c r="C770" s="4"/>
      <c r="D770" s="26" t="s">
        <v>94</v>
      </c>
      <c r="E770" s="4">
        <v>25</v>
      </c>
      <c r="F770" s="5">
        <v>2</v>
      </c>
      <c r="G770" s="5">
        <v>2</v>
      </c>
      <c r="H770" s="6">
        <f t="shared" si="811"/>
        <v>0.91</v>
      </c>
      <c r="I770" s="4">
        <f t="shared" si="812"/>
        <v>10895</v>
      </c>
      <c r="J770" s="13">
        <f>ROUND(VLOOKUP(D770,[1]物品容器!$T$3:$U$8,2,FALSE)*M770,0)</f>
        <v>2993</v>
      </c>
      <c r="K770" s="18">
        <f t="shared" si="813"/>
        <v>2724</v>
      </c>
      <c r="L770" s="18">
        <f t="shared" ref="L770:O770" si="840">ROUND($I770*L$2,0)</f>
        <v>6537</v>
      </c>
      <c r="M770" s="7">
        <v>0.9976</v>
      </c>
      <c r="N770" s="18">
        <f t="shared" si="840"/>
        <v>1634</v>
      </c>
      <c r="O770" s="18">
        <f t="shared" si="840"/>
        <v>163425</v>
      </c>
      <c r="P770" s="18">
        <f t="shared" si="815"/>
        <v>98.055</v>
      </c>
      <c r="Q770" s="18">
        <f t="shared" si="816"/>
        <v>543</v>
      </c>
      <c r="R770" s="42" t="s">
        <v>1160</v>
      </c>
      <c r="S770" s="4">
        <f>_xlfn.XLOOKUP(B770,[1]Sheet1!$B:$B,[1]Sheet1!$A:$A,,0,1)</f>
        <v>231000002</v>
      </c>
      <c r="W770" s="4"/>
      <c r="X770" s="4"/>
      <c r="AD770" s="4"/>
      <c r="AE770" s="4"/>
    </row>
    <row r="771" s="2" customFormat="1" spans="1:31">
      <c r="A771" s="4">
        <v>26</v>
      </c>
      <c r="B771" s="4" t="s">
        <v>1180</v>
      </c>
      <c r="C771" s="4"/>
      <c r="D771" s="25" t="s">
        <v>76</v>
      </c>
      <c r="E771" s="4">
        <v>26</v>
      </c>
      <c r="F771" s="5">
        <v>2</v>
      </c>
      <c r="G771" s="5">
        <v>2</v>
      </c>
      <c r="H771" s="6">
        <f t="shared" si="811"/>
        <v>0.91</v>
      </c>
      <c r="I771" s="4">
        <f t="shared" si="812"/>
        <v>36091</v>
      </c>
      <c r="J771" s="13">
        <f>ROUND(VLOOKUP(D771,[1]物品容器!$T$3:$U$8,2,FALSE)*M771,0)</f>
        <v>9915</v>
      </c>
      <c r="K771" s="18">
        <f t="shared" si="813"/>
        <v>9023</v>
      </c>
      <c r="L771" s="18">
        <f t="shared" ref="L771:O771" si="841">ROUND($I771*L$2,0)</f>
        <v>21655</v>
      </c>
      <c r="M771" s="7">
        <v>0.9915</v>
      </c>
      <c r="N771" s="18">
        <f t="shared" si="841"/>
        <v>5414</v>
      </c>
      <c r="O771" s="18">
        <f t="shared" si="841"/>
        <v>541365</v>
      </c>
      <c r="P771" s="18">
        <f t="shared" si="815"/>
        <v>324.825</v>
      </c>
      <c r="Q771" s="18">
        <f t="shared" si="816"/>
        <v>1798</v>
      </c>
      <c r="R771" s="42" t="s">
        <v>1180</v>
      </c>
      <c r="S771" s="4">
        <f>_xlfn.XLOOKUP(B771,[1]Sheet1!$B:$B,[1]Sheet1!$A:$A,,0,1)</f>
        <v>232000002</v>
      </c>
      <c r="W771" s="4"/>
      <c r="X771" s="4"/>
      <c r="AD771" s="4"/>
      <c r="AE771" s="4"/>
    </row>
    <row r="772" s="2" customFormat="1" spans="1:31">
      <c r="A772" s="4">
        <v>27</v>
      </c>
      <c r="B772" s="4" t="s">
        <v>1190</v>
      </c>
      <c r="C772" s="4"/>
      <c r="D772" s="25" t="s">
        <v>76</v>
      </c>
      <c r="E772" s="4">
        <v>27</v>
      </c>
      <c r="F772" s="5">
        <v>2</v>
      </c>
      <c r="G772" s="5">
        <v>2</v>
      </c>
      <c r="H772" s="6">
        <f t="shared" si="811"/>
        <v>0.91</v>
      </c>
      <c r="I772" s="4">
        <f t="shared" si="812"/>
        <v>36451</v>
      </c>
      <c r="J772" s="13">
        <f>ROUND(VLOOKUP(D772,[1]物品容器!$T$3:$U$8,2,FALSE)*M772,0)</f>
        <v>10014</v>
      </c>
      <c r="K772" s="18">
        <f t="shared" si="813"/>
        <v>9113</v>
      </c>
      <c r="L772" s="18">
        <f t="shared" ref="L772:O772" si="842">ROUND($I772*L$2,0)</f>
        <v>21871</v>
      </c>
      <c r="M772" s="7">
        <v>1.0014</v>
      </c>
      <c r="N772" s="18">
        <f t="shared" si="842"/>
        <v>5468</v>
      </c>
      <c r="O772" s="18">
        <f t="shared" si="842"/>
        <v>546765</v>
      </c>
      <c r="P772" s="18">
        <f t="shared" si="815"/>
        <v>328.065</v>
      </c>
      <c r="Q772" s="18">
        <f t="shared" si="816"/>
        <v>1816</v>
      </c>
      <c r="R772" s="42" t="s">
        <v>1190</v>
      </c>
      <c r="S772" s="4">
        <f>_xlfn.XLOOKUP(B772,[1]Sheet1!$B:$B,[1]Sheet1!$A:$A,,0,1)</f>
        <v>233000002</v>
      </c>
      <c r="W772" s="4"/>
      <c r="X772" s="4"/>
      <c r="AD772" s="4"/>
      <c r="AE772" s="4"/>
    </row>
  </sheetData>
  <conditionalFormatting sqref="B124">
    <cfRule type="expression" dxfId="0" priority="13">
      <formula>OR(COUNTIF([1]特勤处升级!#REF!,#REF!)&gt;0,COUNTIF([1]特勤处制造!#REF!,#REF!)&gt;0)</formula>
    </cfRule>
  </conditionalFormatting>
  <conditionalFormatting sqref="B216">
    <cfRule type="duplicateValues" dxfId="1" priority="2"/>
  </conditionalFormatting>
  <conditionalFormatting sqref="B223">
    <cfRule type="duplicateValues" dxfId="1" priority="3"/>
  </conditionalFormatting>
  <conditionalFormatting sqref="B1:B123">
    <cfRule type="expression" dxfId="0" priority="10">
      <formula>OR(COUNTIF([1]特勤处升级!#REF!,B2)&gt;0,COUNTIF([1]特勤处制造!#REF!,B2)&gt;0)</formula>
    </cfRule>
  </conditionalFormatting>
  <conditionalFormatting sqref="B219:B220">
    <cfRule type="duplicateValues" dxfId="1" priority="1"/>
  </conditionalFormatting>
  <conditionalFormatting sqref="B470:B472">
    <cfRule type="expression" dxfId="0" priority="9">
      <formula>OR(COUNTIF([1]特勤处升级!#REF!,B473)&gt;0,COUNTIF([1]特勤处制造!#REF!,B473)&gt;0)</formula>
    </cfRule>
  </conditionalFormatting>
  <conditionalFormatting sqref="B477:B479">
    <cfRule type="expression" dxfId="0" priority="7">
      <formula>OR(COUNTIF([1]特勤处升级!#REF!,B480)&gt;0,COUNTIF([1]特勤处制造!#REF!,B480)&gt;0)</formula>
    </cfRule>
  </conditionalFormatting>
  <conditionalFormatting sqref="B484:B486">
    <cfRule type="expression" dxfId="0" priority="6">
      <formula>OR(COUNTIF([1]特勤处升级!#REF!,B487)&gt;0,COUNTIF([1]特勤处制造!#REF!,B487)&gt;0)</formula>
    </cfRule>
  </conditionalFormatting>
  <conditionalFormatting sqref="B491:B493">
    <cfRule type="expression" dxfId="0" priority="5">
      <formula>OR(COUNTIF([1]特勤处升级!#REF!,B494)&gt;0,COUNTIF([1]特勤处制造!#REF!,B494)&gt;0)</formula>
    </cfRule>
  </conditionalFormatting>
  <conditionalFormatting sqref="B498:B500">
    <cfRule type="expression" dxfId="0" priority="4">
      <formula>OR(COUNTIF([1]特勤处升级!#REF!,B501)&gt;0,COUNTIF([1]特勤处制造!#REF!,B501)&gt;0)</formula>
    </cfRule>
  </conditionalFormatting>
  <conditionalFormatting sqref="B773:B1048574">
    <cfRule type="expression" dxfId="0" priority="11">
      <formula>OR(COUNTIF([1]特勤处升级!#REF!,B774)&gt;0,COUNTIF([1]特勤处制造!#REF!,B774)&gt;0)</formula>
    </cfRule>
  </conditionalFormatting>
  <conditionalFormatting sqref="B1048575:B1048576">
    <cfRule type="expression" dxfId="0" priority="12">
      <formula>OR(COUNTIF([1]特勤处升级!#REF!,#REF!)&gt;0,COUNTIF([1]特勤处制造!#REF!,#REF!)&gt;0)</formula>
    </cfRule>
  </conditionalFormatting>
  <conditionalFormatting sqref="B125:B215 B217:B218 B221:B222 B224:B469 B473:B476 B480:B483 B487:B490 B494:B497 B501:B745">
    <cfRule type="expression" dxfId="0" priority="8">
      <formula>OR(COUNTIF([1]特勤处升级!#REF!,B126)&gt;0,COUNTIF([1]特勤处制造!#REF!,B126)&gt;0)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牵魂·梦几遍</cp:lastModifiedBy>
  <dcterms:created xsi:type="dcterms:W3CDTF">2023-05-12T11:15:00Z</dcterms:created>
  <dcterms:modified xsi:type="dcterms:W3CDTF">2026-05-12T07:00:01Z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20DE1A088C08460CA2E5A33161A8C276_12</vt:lpwstr>
  </property>
  <property fmtid="{D5CDD505-2E9C-101B-9397-08002B2CF9AE}" pid="4" name="CalculationRule">
    <vt:i4>0</vt:i4>
  </property>
</Properties>
</file>